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49087b0c91cbce/Desktop/EXCEL/"/>
    </mc:Choice>
  </mc:AlternateContent>
  <xr:revisionPtr revIDLastSave="728" documentId="8_{2801C341-C1C2-47BF-B27A-0C6E6518C897}" xr6:coauthVersionLast="47" xr6:coauthVersionMax="47" xr10:uidLastSave="{15F5B779-7E5F-4E5A-971B-24E0EE82FB74}"/>
  <bookViews>
    <workbookView xWindow="-108" yWindow="-108" windowWidth="23256" windowHeight="13896" activeTab="1" xr2:uid="{78C00AE8-A554-4AB1-A4BC-DE1A555FD10E}"/>
  </bookViews>
  <sheets>
    <sheet name="actual" sheetId="1" r:id="rId1"/>
    <sheet name="pivot table" sheetId="4" r:id="rId2"/>
    <sheet name="dashboard" sheetId="5" r:id="rId3"/>
  </sheets>
  <externalReferences>
    <externalReference r:id="rId4"/>
  </externalReferences>
  <definedNames>
    <definedName name="_xlnm._FilterDatabase" localSheetId="0" hidden="1">actual!$C$1:$C$329</definedName>
    <definedName name="_xlchart.v1.2" hidden="1">'pivot table'!$F$2:$F$40</definedName>
    <definedName name="_xlchart.v1.3" hidden="1">'pivot table'!$H$2:$H$40</definedName>
    <definedName name="_xlchart.v1.4" hidden="1">'pivot table'!$F$9:$F$47</definedName>
    <definedName name="_xlchart.v1.5" hidden="1">'pivot table'!$H$9:$H$47</definedName>
    <definedName name="_xlchart.v2.0" hidden="1">'pivot table'!$B$23:$B$32</definedName>
    <definedName name="_xlchart.v2.1" hidden="1">'pivot table'!$D$23:$D$32</definedName>
    <definedName name="_xlchart.v5.6" hidden="1">'pivot table'!$J$2</definedName>
    <definedName name="_xlchart.v5.7" hidden="1">'pivot table'!$J$3:$J$23</definedName>
    <definedName name="_xlchart.v5.8" hidden="1">'pivot table'!$L$2</definedName>
    <definedName name="_xlchart.v5.9" hidden="1">'pivot table'!$L$3:$L$23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18" i="4" a="1"/>
  <c r="C18" i="4" s="1"/>
  <c r="G2" i="4" a="1"/>
  <c r="G2" i="4" s="1"/>
  <c r="K327" i="1"/>
  <c r="C8" i="4" a="1"/>
  <c r="C8" i="4" s="1"/>
  <c r="K3" i="4" a="1"/>
  <c r="K3" i="4" s="1"/>
  <c r="C23" i="4" a="1"/>
  <c r="C23" i="4" s="1"/>
  <c r="K27" i="4" a="1"/>
  <c r="K27" i="4" s="1"/>
  <c r="I327" i="1"/>
  <c r="C4" i="4" s="1"/>
  <c r="G41" i="4" l="1"/>
  <c r="H21" i="4" s="1"/>
  <c r="H18" i="4"/>
  <c r="H6" i="4"/>
  <c r="C15" i="4"/>
  <c r="D14" i="4" s="1"/>
  <c r="H29" i="4"/>
  <c r="H27" i="4"/>
  <c r="H15" i="4"/>
  <c r="H38" i="4"/>
  <c r="C20" i="4"/>
  <c r="K24" i="4"/>
  <c r="L24" i="4" s="1"/>
  <c r="D20" i="4"/>
  <c r="C33" i="4"/>
  <c r="D33" i="4" s="1"/>
  <c r="C5" i="4"/>
  <c r="D4" i="4" s="1"/>
  <c r="K30" i="4"/>
  <c r="L27" i="4" s="1"/>
  <c r="L28" i="4"/>
  <c r="H33" i="4" l="1"/>
  <c r="H10" i="4"/>
  <c r="H13" i="4"/>
  <c r="H22" i="4"/>
  <c r="H26" i="4"/>
  <c r="H34" i="4"/>
  <c r="L29" i="4"/>
  <c r="L30" i="4" s="1"/>
  <c r="H37" i="4"/>
  <c r="H8" i="4"/>
  <c r="H35" i="4"/>
  <c r="H16" i="4"/>
  <c r="H20" i="4"/>
  <c r="H7" i="4"/>
  <c r="H32" i="4"/>
  <c r="H24" i="4"/>
  <c r="H19" i="4"/>
  <c r="H36" i="4"/>
  <c r="H31" i="4"/>
  <c r="H5" i="4"/>
  <c r="H9" i="4"/>
  <c r="H2" i="4"/>
  <c r="D15" i="4"/>
  <c r="D9" i="4"/>
  <c r="D10" i="4"/>
  <c r="D11" i="4"/>
  <c r="D12" i="4"/>
  <c r="H30" i="4"/>
  <c r="H11" i="4"/>
  <c r="H25" i="4"/>
  <c r="H39" i="4"/>
  <c r="H23" i="4"/>
  <c r="H4" i="4"/>
  <c r="D13" i="4"/>
  <c r="H12" i="4"/>
  <c r="H28" i="4"/>
  <c r="H40" i="4"/>
  <c r="H3" i="4"/>
  <c r="H14" i="4"/>
  <c r="H17" i="4"/>
  <c r="D8" i="4"/>
  <c r="L13" i="4"/>
  <c r="L5" i="4"/>
  <c r="L9" i="4"/>
  <c r="L21" i="4"/>
  <c r="L10" i="4"/>
  <c r="L17" i="4"/>
  <c r="L14" i="4"/>
  <c r="L19" i="4"/>
  <c r="L8" i="4"/>
  <c r="L20" i="4"/>
  <c r="L11" i="4"/>
  <c r="L22" i="4"/>
  <c r="D26" i="4"/>
  <c r="L4" i="4"/>
  <c r="L16" i="4"/>
  <c r="L23" i="4"/>
  <c r="D27" i="4"/>
  <c r="L6" i="4"/>
  <c r="L12" i="4"/>
  <c r="D28" i="4"/>
  <c r="L18" i="4"/>
  <c r="L15" i="4"/>
  <c r="D29" i="4"/>
  <c r="L7" i="4"/>
  <c r="L3" i="4"/>
  <c r="D30" i="4"/>
  <c r="D31" i="4"/>
  <c r="D32" i="4"/>
  <c r="D19" i="4"/>
  <c r="D24" i="4"/>
  <c r="D25" i="4"/>
  <c r="D18" i="4"/>
  <c r="D3" i="4"/>
  <c r="D5" i="4" s="1"/>
  <c r="D23" i="4"/>
  <c r="H41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<sst xmlns="http://schemas.openxmlformats.org/spreadsheetml/2006/main" count="2397" uniqueCount="427">
  <si>
    <t>Sr No.</t>
  </si>
  <si>
    <t>Name</t>
  </si>
  <si>
    <t>Category</t>
  </si>
  <si>
    <t>Product Name</t>
  </si>
  <si>
    <t>Region</t>
  </si>
  <si>
    <t>City</t>
  </si>
  <si>
    <t>State</t>
  </si>
  <si>
    <t>Gender</t>
  </si>
  <si>
    <t>Rate</t>
  </si>
  <si>
    <t>Amount</t>
  </si>
  <si>
    <t>Bharat Innovations</t>
  </si>
  <si>
    <t>Electronic</t>
  </si>
  <si>
    <t>Speaker</t>
  </si>
  <si>
    <t>North</t>
  </si>
  <si>
    <t>Delhi</t>
  </si>
  <si>
    <t>Male</t>
  </si>
  <si>
    <t>Green Leaf Enterprises</t>
  </si>
  <si>
    <t>Car accessories</t>
  </si>
  <si>
    <t>West</t>
  </si>
  <si>
    <t>Mumbai</t>
  </si>
  <si>
    <t>Maharashtra</t>
  </si>
  <si>
    <t>Urban Pulse Technologies</t>
  </si>
  <si>
    <t>Earbuds</t>
  </si>
  <si>
    <t>East</t>
  </si>
  <si>
    <t>Kolkata</t>
  </si>
  <si>
    <t>West Bengal</t>
  </si>
  <si>
    <t>Mystic India Exports</t>
  </si>
  <si>
    <t>South</t>
  </si>
  <si>
    <t>Chennai</t>
  </si>
  <si>
    <t>Tamil Nadu</t>
  </si>
  <si>
    <t>Golden Horizon Ventures</t>
  </si>
  <si>
    <t>Fashion</t>
  </si>
  <si>
    <t>Women dress</t>
  </si>
  <si>
    <t>Bengaluru</t>
  </si>
  <si>
    <t>Karnataka</t>
  </si>
  <si>
    <t>Eternal Traditions</t>
  </si>
  <si>
    <t>Hyderabad</t>
  </si>
  <si>
    <t>Telangana</t>
  </si>
  <si>
    <t>Apex Solutions</t>
  </si>
  <si>
    <t>Ahmedabad</t>
  </si>
  <si>
    <t>Gujarat</t>
  </si>
  <si>
    <t>Harmony Foods</t>
  </si>
  <si>
    <t>Pune</t>
  </si>
  <si>
    <t>Pure Essence Skincare</t>
  </si>
  <si>
    <t>Jaipur</t>
  </si>
  <si>
    <t>Rajasthan</t>
  </si>
  <si>
    <t>Female</t>
  </si>
  <si>
    <t>Zenith Construction Co.</t>
  </si>
  <si>
    <t>Surat</t>
  </si>
  <si>
    <t>Radiant Health Systems</t>
  </si>
  <si>
    <t>Lucknow</t>
  </si>
  <si>
    <t>Uttar Pradesh</t>
  </si>
  <si>
    <t>Divine Creations</t>
  </si>
  <si>
    <t>Kanpur</t>
  </si>
  <si>
    <t>Metro Tech Solutions</t>
  </si>
  <si>
    <t>speaker</t>
  </si>
  <si>
    <t>Nagpur</t>
  </si>
  <si>
    <t>True Path Logistics</t>
  </si>
  <si>
    <t>Central</t>
  </si>
  <si>
    <t>Indore</t>
  </si>
  <si>
    <t>Madhya Pradesh</t>
  </si>
  <si>
    <t>Classic Cuisines</t>
  </si>
  <si>
    <t>Male dress</t>
  </si>
  <si>
    <t>Vadodara</t>
  </si>
  <si>
    <t>Bold Ventures</t>
  </si>
  <si>
    <t>Agra</t>
  </si>
  <si>
    <t>Prestige Automobiles</t>
  </si>
  <si>
    <t>TV</t>
  </si>
  <si>
    <t>Meerut</t>
  </si>
  <si>
    <t>Elite Marketing Solutions</t>
  </si>
  <si>
    <t>Coimbatore</t>
  </si>
  <si>
    <t>Natural Bliss Beverages</t>
  </si>
  <si>
    <t>Madurai</t>
  </si>
  <si>
    <t>Crystal Clear Solutions</t>
  </si>
  <si>
    <t>Jodhpur</t>
  </si>
  <si>
    <t>Modern Trends Fashion</t>
  </si>
  <si>
    <t>Varanasi</t>
  </si>
  <si>
    <t>Heritage Crafts</t>
  </si>
  <si>
    <t>Ranchi</t>
  </si>
  <si>
    <t>Jharkhand</t>
  </si>
  <si>
    <t>Future Insights Analytics</t>
  </si>
  <si>
    <t>Kochi</t>
  </si>
  <si>
    <t>Emerald Estate Developers</t>
  </si>
  <si>
    <t>Aurangabad</t>
  </si>
  <si>
    <t>Starlight Media Group</t>
  </si>
  <si>
    <t>Shimla</t>
  </si>
  <si>
    <t>Himachal Pradesh</t>
  </si>
  <si>
    <t>Supreme Electronics</t>
  </si>
  <si>
    <t>Dehradun</t>
  </si>
  <si>
    <t>Uttarakhand</t>
  </si>
  <si>
    <t>Optimum Wellness</t>
  </si>
  <si>
    <t>Northeast</t>
  </si>
  <si>
    <t>Guwahati</t>
  </si>
  <si>
    <t>Assam</t>
  </si>
  <si>
    <t>Zenith Books Publishing</t>
  </si>
  <si>
    <t>Amritsar</t>
  </si>
  <si>
    <t>Punjab</t>
  </si>
  <si>
    <t>Pinnacle Innovations</t>
  </si>
  <si>
    <t>Raipur</t>
  </si>
  <si>
    <t>Chhattisgarh</t>
  </si>
  <si>
    <t>Apex Travel Services</t>
  </si>
  <si>
    <t>Durgapur</t>
  </si>
  <si>
    <t>Golden Era Realty</t>
  </si>
  <si>
    <t>Radiant Jewelry</t>
  </si>
  <si>
    <t>Laptop</t>
  </si>
  <si>
    <t>Gwalior</t>
  </si>
  <si>
    <t>Infinity Ventures</t>
  </si>
  <si>
    <t>Jamshedpur</t>
  </si>
  <si>
    <t>Royal Taste Foods</t>
  </si>
  <si>
    <t>Siliguri</t>
  </si>
  <si>
    <t>Harmony Homes</t>
  </si>
  <si>
    <t>Mangalore</t>
  </si>
  <si>
    <t>Urban Edge Consulting</t>
  </si>
  <si>
    <t>Prime Tech Innovations</t>
  </si>
  <si>
    <t>Legacy Designs</t>
  </si>
  <si>
    <t>Virtue Enterprises</t>
  </si>
  <si>
    <t>Radiant Health Club</t>
  </si>
  <si>
    <t>Bright Horizon Ventures</t>
  </si>
  <si>
    <t>Modern Lifestyle Products</t>
  </si>
  <si>
    <t>Nexus Trading Co.</t>
  </si>
  <si>
    <t>Radiance Spa</t>
  </si>
  <si>
    <t>Saree</t>
  </si>
  <si>
    <t>Absolute Solutions</t>
  </si>
  <si>
    <t>Verve Fitness Studio</t>
  </si>
  <si>
    <t>Sparkle Cleaners</t>
  </si>
  <si>
    <t>Global Reach Logistics</t>
  </si>
  <si>
    <t>Noble Path Finance</t>
  </si>
  <si>
    <t>Dynamic Events Management</t>
  </si>
  <si>
    <t>Thane</t>
  </si>
  <si>
    <t>Crystal Waters Resort</t>
  </si>
  <si>
    <t>North (UT)</t>
  </si>
  <si>
    <t>Chandigarh</t>
  </si>
  <si>
    <t>Excellence Tutors</t>
  </si>
  <si>
    <t>Bhopal</t>
  </si>
  <si>
    <t>Horizon Builders</t>
  </si>
  <si>
    <t>Visakhapatnam</t>
  </si>
  <si>
    <t>Andhra Pradesh</t>
  </si>
  <si>
    <t>Synergy Tech Solutions</t>
  </si>
  <si>
    <t>Patna</t>
  </si>
  <si>
    <t>Bihar</t>
  </si>
  <si>
    <t>Classic Heritage Crafts</t>
  </si>
  <si>
    <t>Prime Focus Media</t>
  </si>
  <si>
    <t>Suit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</si>
  <si>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</si>
  <si>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</si>
  <si>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</si>
  <si>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</si>
  <si>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</si>
  <si>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</si>
  <si>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Apex Auto Care</t>
  </si>
  <si>
    <t>Kerala</t>
  </si>
  <si>
    <t>Royal Glow Cosmetics</t>
  </si>
  <si>
    <t>Zenith Culinary Arts</t>
  </si>
  <si>
    <t>Visionary Tours</t>
  </si>
  <si>
    <t>Horizon Wellness</t>
  </si>
  <si>
    <t>Decor</t>
  </si>
  <si>
    <t>True Value Electronics</t>
  </si>
  <si>
    <t>Harmony Homes Realty</t>
  </si>
  <si>
    <t>Stellar Advertising</t>
  </si>
  <si>
    <t>Radiant Enterprise Solutions</t>
  </si>
  <si>
    <t>Modern Trends Retail</t>
  </si>
  <si>
    <t>Global Spectrum Consulting</t>
  </si>
  <si>
    <t>Elite Essence Products</t>
  </si>
  <si>
    <t>Dynamic Creations</t>
  </si>
  <si>
    <t>Quantum Design Studio</t>
  </si>
  <si>
    <t>Infinite Solutions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</si>
  <si>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</si>
  <si>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</si>
  <si>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</si>
  <si>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</si>
  <si>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</si>
  <si>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</si>
  <si>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</si>
  <si>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Radiant Vision Studios</t>
  </si>
  <si>
    <t>Home décor</t>
  </si>
  <si>
    <t>Noble Travel Services</t>
  </si>
  <si>
    <t>Bright Future Academy</t>
  </si>
  <si>
    <t>Synergy Solutions Group</t>
  </si>
  <si>
    <t>Visionary Health Systems</t>
  </si>
  <si>
    <t>Apex Retailers</t>
  </si>
  <si>
    <t>Prestige Property Developers</t>
  </si>
  <si>
    <t>Classic Trends Fashion</t>
  </si>
  <si>
    <t>Harmony Ventures</t>
  </si>
  <si>
    <t>Stellar Realty</t>
  </si>
  <si>
    <t>Future Path Technologies</t>
  </si>
  <si>
    <t>Elite Edge Services</t>
  </si>
  <si>
    <t>Radiance Health and Wellness</t>
  </si>
  <si>
    <t>Legacy Auto Works</t>
  </si>
  <si>
    <t>Prime Essence Creations</t>
  </si>
  <si>
    <t>Quantum Ventures</t>
  </si>
  <si>
    <t>Horizon Tech Solutions</t>
  </si>
  <si>
    <t>Urban Legends Apparel</t>
  </si>
  <si>
    <t>Pure Bliss Beverages</t>
  </si>
  <si>
    <t>Noble Heights Builders</t>
  </si>
  <si>
    <t>Radiant Foods</t>
  </si>
  <si>
    <t>Zenith Financial Services</t>
  </si>
  <si>
    <t>Apex Travel Ventures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</si>
  <si>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</si>
  <si>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</si>
  <si>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</si>
  <si>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</si>
  <si>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</si>
  <si>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</si>
  <si>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</si>
  <si>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</si>
  <si>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</si>
  <si>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</si>
  <si>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</si>
  <si>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</si>
  <si>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Apex Wellness Solutions</t>
  </si>
  <si>
    <t>Royal Crest Foods</t>
  </si>
  <si>
    <t>Zenith Travels</t>
  </si>
  <si>
    <t>Modern Harmony Products</t>
  </si>
  <si>
    <t>Horizon Builders &amp; Developers</t>
  </si>
  <si>
    <t>Radiance Tech Solutions</t>
  </si>
  <si>
    <t>Legacy Apparel</t>
  </si>
  <si>
    <t>Pinnacle Education Group</t>
  </si>
  <si>
    <t>Noble Innovations</t>
  </si>
  <si>
    <t>Crystal Clear Realty</t>
  </si>
  <si>
    <t>Future Vision Realty</t>
  </si>
  <si>
    <t>Urban Pulse Media</t>
  </si>
  <si>
    <t>True Essence Health</t>
  </si>
  <si>
    <t>Apex Enterprise Solutions</t>
  </si>
  <si>
    <t>Radiant Vision Realty</t>
  </si>
  <si>
    <t>Harmony Consulting Group</t>
  </si>
  <si>
    <t>Zenith Tech Ventures</t>
  </si>
  <si>
    <t>Stellar Health Services</t>
  </si>
  <si>
    <t>Pure Path Foods</t>
  </si>
  <si>
    <t>Prestige Solutions</t>
  </si>
  <si>
    <t>Bright Horizon Realty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</si>
  <si>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</si>
  <si>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</si>
  <si>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</si>
  <si>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</si>
  <si>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</si>
  <si>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</si>
  <si>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</si>
  <si>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Urban Wave Solutions</t>
  </si>
  <si>
    <t>Pinnacle Health Innovations</t>
  </si>
  <si>
    <t>Horizon Fashion</t>
  </si>
  <si>
    <t>Crystal Essence Beverages</t>
  </si>
  <si>
    <t>Dynamic Pathways</t>
  </si>
  <si>
    <t>Visionary Realty Solutions</t>
  </si>
  <si>
    <t>Radiance Apparel</t>
  </si>
  <si>
    <t>Zenith Design Group</t>
  </si>
  <si>
    <t>Apex Publishing House</t>
  </si>
  <si>
    <t>True Value Consulting</t>
  </si>
  <si>
    <t>Future Path Ventures</t>
  </si>
  <si>
    <t>Stellar Tech Services</t>
  </si>
  <si>
    <t>Legacy Travel Agency</t>
  </si>
  <si>
    <t>Harmony Innovations</t>
  </si>
  <si>
    <t>Pure Essence Solutions</t>
  </si>
  <si>
    <t>Elite Media Group</t>
  </si>
  <si>
    <t>Radiant Construction</t>
  </si>
  <si>
    <t>Pinnacle Finance</t>
  </si>
  <si>
    <t>Horizon Tech Ventures</t>
  </si>
  <si>
    <t>Crystal Health Solutions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</si>
  <si>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</si>
  <si>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</si>
  <si>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</si>
  <si>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</si>
  <si>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</si>
  <si>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</si>
  <si>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</si>
  <si>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Elite Edge Consulting</t>
  </si>
  <si>
    <t>Stellar Travel Solutions</t>
  </si>
  <si>
    <t>Harmony Tech Ventures</t>
  </si>
  <si>
    <t>Pure Harmony Solutions</t>
  </si>
  <si>
    <t>Radiant Fitness Studio</t>
  </si>
  <si>
    <t>Zenith Finance Co.</t>
  </si>
  <si>
    <t>Apex Events Management</t>
  </si>
  <si>
    <t>Visionary Innovations</t>
  </si>
  <si>
    <t>Horizon Design Studio</t>
  </si>
  <si>
    <t>Modern Spectrum Solutions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</si>
  <si>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</si>
  <si>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</si>
  <si>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</si>
  <si>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</si>
  <si>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</si>
  <si>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</si>
  <si>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Apex Creative Solutions</t>
  </si>
  <si>
    <t>Zenith Health Products</t>
  </si>
  <si>
    <t>Stellar Media Group</t>
  </si>
  <si>
    <t>Harmony Finance Co.</t>
  </si>
  <si>
    <t>Pure Vision Ventures</t>
  </si>
  <si>
    <t>Radiance Solutions Group</t>
  </si>
  <si>
    <t>Legacy Travel Services</t>
  </si>
  <si>
    <t>Elite Spectrum Media</t>
  </si>
  <si>
    <t>Modern Edge Solutions</t>
  </si>
  <si>
    <t>Pinnacle Design Studio</t>
  </si>
  <si>
    <t>Horizon Health Solutions</t>
  </si>
  <si>
    <t>Crystal Clear Consulting</t>
  </si>
  <si>
    <t>Apex Marketing Solutions</t>
  </si>
  <si>
    <t>Zenith Innovations</t>
  </si>
  <si>
    <t>Stellar Wellness Products</t>
  </si>
  <si>
    <t>Radiant Consulting Group</t>
  </si>
  <si>
    <t>Harmony Ventures Co.</t>
  </si>
  <si>
    <t>Urban Path Technologies</t>
  </si>
  <si>
    <t>True Essence Innovations</t>
  </si>
  <si>
    <t>Pinnacle Media Group</t>
  </si>
  <si>
    <t>Legacy Design Co.</t>
  </si>
  <si>
    <t>Apex Health Products</t>
  </si>
  <si>
    <t>Zenith Travel Ventures</t>
  </si>
  <si>
    <t>Pure Path Consulting</t>
  </si>
  <si>
    <t>Radiance Solutions Co.</t>
  </si>
  <si>
    <t>Modern Vision Ventures</t>
  </si>
  <si>
    <t>Elite Travel Services</t>
  </si>
  <si>
    <t>Horizon Creative Solutions</t>
  </si>
  <si>
    <t>Crystal Innovations Group</t>
  </si>
  <si>
    <t>Pinnacle Fitness Studio</t>
  </si>
  <si>
    <t>Stellar Travel Agency</t>
  </si>
  <si>
    <t>Harmony Educational Group</t>
  </si>
  <si>
    <t>Urban Spectrum Solutions</t>
  </si>
  <si>
    <t>Radiant Design Studio</t>
  </si>
  <si>
    <t>Zenith Health Innovations</t>
  </si>
  <si>
    <t>Apex Realty Ventures</t>
  </si>
  <si>
    <t>Legacy Wellness Solutions</t>
  </si>
  <si>
    <t>True Value Ventures</t>
  </si>
  <si>
    <t>Horizon Media Solutions</t>
  </si>
  <si>
    <t>Crystal Clear Designs</t>
  </si>
  <si>
    <t>Pinnacle Innovations Co.</t>
  </si>
  <si>
    <t>Modern Pathways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</si>
  <si>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</si>
  <si>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</si>
  <si>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</si>
  <si>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</si>
  <si>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</si>
  <si>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</si>
  <si>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Urban Vision Solutions</t>
  </si>
  <si>
    <t>Pure Harmony Innovations</t>
  </si>
  <si>
    <t>Legacy Media Group</t>
  </si>
  <si>
    <t>Pinnacle Travel Solutions</t>
  </si>
  <si>
    <t>Horizon Tech Innovations</t>
  </si>
  <si>
    <t>Crystal Spectrum Consulting</t>
  </si>
  <si>
    <t>Stellar Creative Co.</t>
  </si>
  <si>
    <t>Radiance Media Ventures</t>
  </si>
  <si>
    <t>Harmony Health Solutions</t>
  </si>
  <si>
    <t>Zenith Edge Services</t>
  </si>
  <si>
    <t>Modern Vision Solutions</t>
  </si>
  <si>
    <t>True Path Consulting</t>
  </si>
  <si>
    <t>Legacy Finance Group</t>
  </si>
  <si>
    <t>Pinnacle Design Ventures</t>
  </si>
  <si>
    <t>Stellar Innovations Co.</t>
  </si>
  <si>
    <t>Radiant Educational Solutions</t>
  </si>
  <si>
    <t>Harmony Marketing Co.</t>
  </si>
  <si>
    <t>Urban Tech Innovations</t>
  </si>
  <si>
    <t>Crystal Wellness Group</t>
  </si>
  <si>
    <t>Zenith Creative Solutions</t>
  </si>
  <si>
    <t>Apex Media Co.</t>
  </si>
  <si>
    <t>Pure Vision Solutions</t>
  </si>
  <si>
    <t>Legacy Health Ventures</t>
  </si>
  <si>
    <t>Pinnacle Spectrum Co.</t>
  </si>
  <si>
    <t>Stellar Travel Products</t>
  </si>
  <si>
    <t>Radiance Finance Services</t>
  </si>
  <si>
    <t>Harmony Edge Solutions</t>
  </si>
  <si>
    <t>Modern Travel Agency</t>
  </si>
  <si>
    <t>Crystal Path Consulting</t>
  </si>
  <si>
    <t>Zenith Educational Services</t>
  </si>
  <si>
    <t>Apex Innovations Co.</t>
  </si>
  <si>
    <t>Pure Harmony Health</t>
  </si>
  <si>
    <t>Legacy Travel Ventures</t>
  </si>
  <si>
    <t>Pinnacle Media Solutions</t>
  </si>
  <si>
    <t>Stellar Design Group</t>
  </si>
  <si>
    <t>Radiant Tech Solutions</t>
  </si>
  <si>
    <t>Horizon Ventures Co.</t>
  </si>
  <si>
    <t>Elite Creative Solutions</t>
  </si>
  <si>
    <t>Zenith Wellness Services</t>
  </si>
  <si>
    <t>Apex Travel Innovations</t>
  </si>
  <si>
    <t>Modern Health Products</t>
  </si>
  <si>
    <t>Harmony Finance Group</t>
  </si>
  <si>
    <t>Pure Vision Consulting</t>
  </si>
  <si>
    <t>Legacy Spectrum Co.</t>
  </si>
  <si>
    <t>Pinnacle Design Solutions</t>
  </si>
  <si>
    <t>Stellar Media Services</t>
  </si>
  <si>
    <t>Radiant Innovations Group</t>
  </si>
  <si>
    <t>Horizon Path Ventures</t>
  </si>
  <si>
    <t>Zenith Tech Co.</t>
  </si>
  <si>
    <t>Apex Finance Ventures</t>
  </si>
  <si>
    <t>Legacy Travel Co.</t>
  </si>
  <si>
    <t>Pinnacle Innovations Group</t>
  </si>
  <si>
    <t>Radiance Design Co.</t>
  </si>
  <si>
    <t>Zenith Path Solutions</t>
  </si>
  <si>
    <t>Apex Educational Group</t>
  </si>
  <si>
    <t>Modern Wellness Co.</t>
  </si>
  <si>
    <t>Pure Spectrum Innovations</t>
  </si>
  <si>
    <t>Legacy Media Solutions</t>
  </si>
  <si>
    <t>Pinnacle Travel Co.</t>
  </si>
  <si>
    <t>Stellar Consulting Services</t>
  </si>
  <si>
    <t>Radiant Ventures</t>
  </si>
  <si>
    <t>Harmony Tech Co.</t>
  </si>
  <si>
    <t>Zenith Creative Ventures</t>
  </si>
  <si>
    <t>Apex Health Services</t>
  </si>
  <si>
    <t>Pure Vision Media</t>
  </si>
  <si>
    <t>Legacy Innovations Group</t>
  </si>
  <si>
    <t>Pinnacle Consulting Co.</t>
  </si>
  <si>
    <t>Stellar Finance Group</t>
  </si>
  <si>
    <t>Radiant Solutions Co.</t>
  </si>
  <si>
    <t>Harmony Ventures Group</t>
  </si>
  <si>
    <t>Zenith Wellness Co.</t>
  </si>
  <si>
    <t>Apex Design Services</t>
  </si>
  <si>
    <t>Modern Travel Solutions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</si>
  <si>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</si>
  <si>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</si>
  <si>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</si>
  <si>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</si>
  <si>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</si>
  <si>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</si>
  <si>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palestine</t>
  </si>
  <si>
    <t>Zenith Tech Solutions</t>
  </si>
  <si>
    <t>Apex Finance Group</t>
  </si>
  <si>
    <t>Pure Harmony Media</t>
  </si>
  <si>
    <t>Legacy Health Co.</t>
  </si>
  <si>
    <t>Quantity</t>
  </si>
  <si>
    <t>TARGET</t>
  </si>
  <si>
    <t>ACTAUL</t>
  </si>
  <si>
    <t>TOTAL</t>
  </si>
  <si>
    <t xml:space="preserve">SALES </t>
  </si>
  <si>
    <t>CATEGORY</t>
  </si>
  <si>
    <t xml:space="preserve">PRODUCT NAME </t>
  </si>
  <si>
    <t>REGION</t>
  </si>
  <si>
    <t>CITY</t>
  </si>
  <si>
    <t>STATE</t>
  </si>
  <si>
    <t>GENDER</t>
  </si>
  <si>
    <t>MALE</t>
  </si>
  <si>
    <t>FEMALE</t>
  </si>
  <si>
    <t>Total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</si>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</sst>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Calibri"/>
      <family val="2"/>
    </font>
    <font>
      <sz val="11"/>
      <color theme="1"/>
      <name val="Comic Sans MS"/>
      <family val="4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u/>
      <sz val="11"/>
      <color theme="1"/>
      <name val="Cambria"/>
      <family val="1"/>
    </font>
    <font>
      <b/>
      <i/>
      <u/>
      <sz val="16"/>
      <color theme="1"/>
      <name val="Cambria"/>
      <family val="1"/>
    </font>
    <font>
      <i/>
      <u/>
      <sz val="16"/>
      <color theme="1"/>
      <name val="Cambria"/>
      <family val="1"/>
    </font>
    <font>
      <i/>
      <u/>
      <sz val="11"/>
      <color theme="1"/>
      <name val="Cambria"/>
      <family val="1"/>
    </font>
    <font>
      <sz val="9"/>
      <color theme="1"/>
      <name val="Arial Rounded MT Bold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11" fillId="2" borderId="0" xfId="0" applyFont="1" applyFill="1"/>
    <xf numFmtId="0" fontId="0" fillId="0" borderId="1" xfId="0" applyBorder="1"/>
    <xf numFmtId="0" fontId="12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4" fillId="0" borderId="12" xfId="0" applyNumberFormat="1" applyFont="1" applyBorder="1" applyAlignment="1">
      <alignment horizontal="center" wrapText="1"/>
    </xf>
    <xf numFmtId="0" fontId="7" fillId="0" borderId="12" xfId="0" applyNumberFormat="1" applyFont="1" applyBorder="1" applyAlignment="1">
      <alignment horizontal="center" wrapText="1"/>
    </xf>
    <xf numFmtId="0" fontId="8" fillId="2" borderId="2" xfId="0" applyNumberFormat="1" applyFont="1" applyFill="1" applyBorder="1" applyAlignment="1">
      <alignment horizontal="center" wrapText="1"/>
    </xf>
    <xf numFmtId="0" fontId="9" fillId="2" borderId="3" xfId="0" applyNumberFormat="1" applyFont="1" applyFill="1" applyBorder="1" applyAlignment="1">
      <alignment horizontal="center" vertical="center" wrapText="1"/>
    </xf>
    <xf numFmtId="0" fontId="10" fillId="2" borderId="3" xfId="0" applyNumberFormat="1" applyFont="1" applyFill="1" applyBorder="1" applyAlignment="1">
      <alignment horizontal="center" vertical="center" wrapText="1"/>
    </xf>
    <xf numFmtId="0" fontId="11" fillId="2" borderId="4" xfId="0" applyNumberFormat="1" applyFont="1" applyFill="1" applyBorder="1" applyAlignment="1">
      <alignment horizont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8" xfId="0" applyNumberFormat="1" applyFont="1" applyBorder="1" applyAlignment="1">
      <alignment horizontal="center" vertical="center" wrapText="1"/>
    </xf>
    <xf numFmtId="0" fontId="6" fillId="0" borderId="8" xfId="0" applyNumberFormat="1" applyFont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wrapText="1"/>
    </xf>
    <xf numFmtId="10" fontId="0" fillId="0" borderId="6" xfId="0" applyNumberFormat="1" applyBorder="1"/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left" vertical="center" wrapText="1"/>
    </xf>
    <xf numFmtId="0" fontId="13" fillId="0" borderId="1" xfId="0" applyNumberFormat="1" applyFont="1" applyBorder="1" applyAlignment="1">
      <alignment horizontal="center" vertical="center" wrapText="1"/>
    </xf>
    <xf numFmtId="10" fontId="0" fillId="0" borderId="6" xfId="0" applyNumberFormat="1" applyFont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7" xfId="0" applyFont="1" applyFill="1" applyBorder="1" applyAlignment="1">
      <alignment horizontal="center"/>
    </xf>
    <xf numFmtId="0" fontId="0" fillId="0" borderId="0" xfId="0" applyBorder="1" applyAlignment="1"/>
    <xf numFmtId="9" fontId="0" fillId="0" borderId="16" xfId="1" applyFont="1" applyBorder="1" applyAlignment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0" borderId="1" xfId="0" applyFont="1" applyBorder="1"/>
    <xf numFmtId="0" fontId="7" fillId="3" borderId="5" xfId="0" applyNumberFormat="1" applyFont="1" applyFill="1" applyBorder="1" applyAlignment="1">
      <alignment horizontal="left" wrapText="1"/>
    </xf>
    <xf numFmtId="0" fontId="2" fillId="3" borderId="0" xfId="0" applyFont="1" applyFill="1" applyBorder="1" applyAlignment="1"/>
    <xf numFmtId="9" fontId="2" fillId="3" borderId="16" xfId="1" applyFont="1" applyFill="1" applyBorder="1" applyAlignment="1"/>
    <xf numFmtId="10" fontId="2" fillId="3" borderId="6" xfId="0" applyNumberFormat="1" applyFont="1" applyFill="1" applyBorder="1"/>
    <xf numFmtId="10" fontId="2" fillId="3" borderId="9" xfId="0" applyNumberFormat="1" applyFont="1" applyFill="1" applyBorder="1"/>
    <xf numFmtId="9" fontId="0" fillId="0" borderId="1" xfId="1" applyFont="1" applyBorder="1"/>
    <xf numFmtId="9" fontId="2" fillId="0" borderId="1" xfId="1" applyFont="1" applyBorder="1"/>
    <xf numFmtId="0" fontId="0" fillId="0" borderId="5" xfId="0" applyBorder="1"/>
    <xf numFmtId="9" fontId="0" fillId="0" borderId="6" xfId="1" applyFont="1" applyBorder="1"/>
    <xf numFmtId="9" fontId="2" fillId="3" borderId="9" xfId="1" applyFont="1" applyFill="1" applyBorder="1"/>
    <xf numFmtId="0" fontId="7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9" fontId="0" fillId="3" borderId="1" xfId="1" applyFont="1" applyFill="1" applyBorder="1"/>
    <xf numFmtId="0" fontId="0" fillId="3" borderId="0" xfId="0" applyFill="1"/>
    <xf numFmtId="0" fontId="2" fillId="3" borderId="0" xfId="0" applyFont="1" applyFill="1" applyAlignment="1">
      <alignment horizontal="center"/>
    </xf>
    <xf numFmtId="0" fontId="7" fillId="3" borderId="1" xfId="0" applyNumberFormat="1" applyFont="1" applyFill="1" applyBorder="1" applyAlignment="1">
      <alignment horizontal="center" vertical="center" wrapText="1"/>
    </xf>
    <xf numFmtId="9" fontId="2" fillId="3" borderId="1" xfId="1" applyFont="1" applyFill="1" applyBorder="1"/>
    <xf numFmtId="0" fontId="0" fillId="5" borderId="0" xfId="0" applyFill="1"/>
    <xf numFmtId="0" fontId="0" fillId="0" borderId="0" xfId="0" applyFont="1"/>
    <xf numFmtId="0" fontId="13" fillId="2" borderId="11" xfId="0" applyNumberFormat="1" applyFont="1" applyFill="1" applyBorder="1" applyAlignment="1">
      <alignment horizontal="center" vertical="center" wrapText="1"/>
    </xf>
    <xf numFmtId="0" fontId="13" fillId="2" borderId="17" xfId="0" applyNumberFormat="1" applyFont="1" applyFill="1" applyBorder="1" applyAlignment="1">
      <alignment horizontal="center" vertical="center" wrapText="1"/>
    </xf>
    <xf numFmtId="0" fontId="13" fillId="2" borderId="10" xfId="0" applyNumberFormat="1" applyFont="1" applyFill="1" applyBorder="1" applyAlignment="1">
      <alignment horizontal="center" vertical="center" wrapText="1"/>
    </xf>
    <xf numFmtId="9" fontId="0" fillId="4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rgbClr val="FFFF00"/>
                </a:solidFill>
                <a:latin typeface="Aptos Display" panose="020B0004020202020204" pitchFamily="34" charset="0"/>
              </a:rPr>
              <a:t>SALES</a:t>
            </a:r>
            <a:r>
              <a:rPr lang="en-IN" sz="1800" baseline="0"/>
              <a:t> </a:t>
            </a: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9779285264255932E-2"/>
          <c:y val="0.2055653585297077"/>
          <c:w val="0.90022071473574405"/>
          <c:h val="0.67225235563964159"/>
        </c:manualLayout>
      </c:layout>
      <c:pie3DChart>
        <c:varyColors val="1"/>
        <c:ser>
          <c:idx val="0"/>
          <c:order val="0"/>
          <c:spPr>
            <a:solidFill>
              <a:schemeClr val="accent2">
                <a:lumMod val="75000"/>
              </a:schemeClr>
            </a:solidFill>
          </c:spPr>
          <c:dPt>
            <c:idx val="0"/>
            <c:bubble3D val="0"/>
            <c:explosion val="43"/>
            <c:spPr>
              <a:solidFill>
                <a:schemeClr val="accent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5A-4E15-95CA-65CDA35B2185}"/>
              </c:ext>
            </c:extLst>
          </c:dPt>
          <c:dPt>
            <c:idx val="1"/>
            <c:bubble3D val="0"/>
            <c:explosion val="28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5A-4E15-95CA-65CDA35B2185}"/>
              </c:ext>
            </c:extLst>
          </c:dPt>
          <c:dLbls>
            <c:dLbl>
              <c:idx val="0"/>
              <c:layout>
                <c:manualLayout>
                  <c:x val="-0.13668018137891816"/>
                  <c:y val="-0.188428665351742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894287816408636"/>
                      <c:h val="0.308612754766600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B5A-4E15-95CA-65CDA35B2185}"/>
                </c:ext>
              </c:extLst>
            </c:dLbl>
            <c:dLbl>
              <c:idx val="1"/>
              <c:layout>
                <c:manualLayout>
                  <c:x val="-0.20582469683412719"/>
                  <c:y val="9.92413200209055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5A-4E15-95CA-65CDA35B21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('pivot table'!$B$3,'pivot table'!$B$4)</c:f>
              <c:strCache>
                <c:ptCount val="2"/>
                <c:pt idx="0">
                  <c:v>TARGET</c:v>
                </c:pt>
                <c:pt idx="1">
                  <c:v>ACTAUL</c:v>
                </c:pt>
              </c:strCache>
            </c:strRef>
          </c:cat>
          <c:val>
            <c:numRef>
              <c:f>('pivot table'!$D$3,'pivot table'!$D$4)</c:f>
              <c:numCache>
                <c:formatCode>0.00%</c:formatCode>
                <c:ptCount val="2"/>
                <c:pt idx="0">
                  <c:v>0.92407684611902075</c:v>
                </c:pt>
                <c:pt idx="1">
                  <c:v>7.5923153880979227E-2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A-4E15-95CA-65CDA35B21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65723882757442"/>
          <c:y val="9.4737891678434702E-2"/>
          <c:w val="0.49523412951778167"/>
          <c:h val="0.81052421664313057"/>
        </c:manualLayout>
      </c:layout>
      <c:radarChart>
        <c:radarStyle val="filled"/>
        <c:varyColors val="0"/>
        <c:ser>
          <c:idx val="0"/>
          <c:order val="0"/>
          <c:spPr>
            <a:solidFill>
              <a:schemeClr val="accent2">
                <a:lumMod val="40000"/>
                <a:lumOff val="60000"/>
              </a:schemeClr>
            </a:solidFill>
            <a:ln w="12700">
              <a:solidFill>
                <a:srgbClr val="FFFF00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table'!$B$8:$B$14</c:f>
              <c:strCache>
                <c:ptCount val="7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  <c:pt idx="6">
                  <c:v>North (UT)</c:v>
                </c:pt>
              </c:strCache>
            </c:strRef>
          </c:cat>
          <c:val>
            <c:numRef>
              <c:f>'pivot table'!$D$8:$D$14</c:f>
              <c:numCache>
                <c:formatCode>0%</c:formatCode>
                <c:ptCount val="7"/>
                <c:pt idx="0">
                  <c:v>0.31432027562905468</c:v>
                </c:pt>
                <c:pt idx="1">
                  <c:v>0.17749029386664161</c:v>
                </c:pt>
                <c:pt idx="2">
                  <c:v>0.1762833786632253</c:v>
                </c:pt>
                <c:pt idx="3">
                  <c:v>0.18761057015133153</c:v>
                </c:pt>
                <c:pt idx="4">
                  <c:v>9.618114327487616E-2</c:v>
                </c:pt>
                <c:pt idx="5">
                  <c:v>2.8193408024756787E-2</c:v>
                </c:pt>
                <c:pt idx="6">
                  <c:v>1.9920930390113896E-2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A-4089-97A9-5C30E01B1F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23672847"/>
        <c:axId val="1723674767"/>
      </c:radarChart>
      <c:catAx>
        <c:axId val="172367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674767"/>
        <c:crosses val="autoZero"/>
        <c:auto val="1"/>
        <c:lblAlgn val="ctr"/>
        <c:lblOffset val="100"/>
        <c:noMultiLvlLbl val="0"/>
      </c:catAx>
      <c:valAx>
        <c:axId val="17236747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72367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24759245739821309"/>
          <c:w val="0.95"/>
          <c:h val="0.59557804112842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table'!$J$27</c:f>
              <c:strCache>
                <c:ptCount val="1"/>
                <c:pt idx="0">
                  <c:v>Electronic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'pivot table'!$L$27</c:f>
              <c:numCache>
                <c:formatCode>0.00%</c:formatCode>
                <c:ptCount val="1"/>
                <c:pt idx="0">
                  <c:v>0.30689903108038852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7-4CEA-90BF-E7D21AB593BB}"/>
            </c:ext>
          </c:extLst>
        </c:ser>
        <c:ser>
          <c:idx val="1"/>
          <c:order val="1"/>
          <c:tx>
            <c:strRef>
              <c:f>'pivot table'!$J$28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'pivot table'!$L$28</c:f>
              <c:numCache>
                <c:formatCode>0.00%</c:formatCode>
                <c:ptCount val="1"/>
                <c:pt idx="0">
                  <c:v>0.46596488199112052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7-4CEA-90BF-E7D21AB593BB}"/>
            </c:ext>
          </c:extLst>
        </c:ser>
        <c:ser>
          <c:idx val="2"/>
          <c:order val="2"/>
          <c:tx>
            <c:strRef>
              <c:f>'pivot table'!$J$29</c:f>
              <c:strCache>
                <c:ptCount val="1"/>
                <c:pt idx="0">
                  <c:v>Decor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'pivot table'!$L$29</c:f>
              <c:numCache>
                <c:formatCode>0.00%</c:formatCode>
                <c:ptCount val="1"/>
                <c:pt idx="0">
                  <c:v>0.22713608692849097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D7-4CEA-90BF-E7D21AB593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1616639"/>
        <c:axId val="1721618079"/>
      </c:barChart>
      <c:catAx>
        <c:axId val="1721616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1618079"/>
        <c:crosses val="autoZero"/>
        <c:auto val="1"/>
        <c:lblAlgn val="ctr"/>
        <c:lblOffset val="100"/>
        <c:noMultiLvlLbl val="0"/>
      </c:catAx>
      <c:valAx>
        <c:axId val="1721618079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72161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216388221353619"/>
          <c:y val="3.7435924141651249E-2"/>
          <c:w val="0.65561758740291365"/>
          <c:h val="0.180161121859337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'pivot table'!$D$18</c:f>
          <c:strCache>
            <c:ptCount val="1"/>
            <c:pt idx="0">
              <c:v>44%</c:v>
            </c:pt>
          </c:strCache>
        </c:strRef>
      </c:tx>
      <c:layout>
        <c:manualLayout>
          <c:xMode val="edge"/>
          <c:yMode val="edge"/>
          <c:x val="0.30572969463117033"/>
          <c:y val="5.7205764178921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23776445912298"/>
          <c:y val="0.14977249823127584"/>
          <c:w val="0.79176213674370077"/>
          <c:h val="0.406799047711709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'pivot table'!$C$18:$D$18</c:f>
              <c:numCache>
                <c:formatCode>0%</c:formatCode>
                <c:ptCount val="2"/>
                <c:pt idx="0" formatCode="General">
                  <c:v>23867</c:v>
                </c:pt>
                <c:pt idx="1">
                  <c:v>0.43509251663476439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6-4BE5-9CEA-43601B6A91A6}"/>
            </c:ext>
          </c:extLst>
        </c:ser>
        <c:ser>
          <c:idx val="1"/>
          <c:order val="1"/>
          <c:tx>
            <c:strRef>
              <c:f>'pivot table'!$B$20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B86-4BE5-9CEA-43601B6A91A6}"/>
              </c:ext>
            </c:extLst>
          </c:dPt>
          <c:val>
            <c:numRef>
              <c:f>'pivot table'!$C$20</c:f>
              <c:numCache>
                <c:formatCode>General</c:formatCode>
                <c:ptCount val="1"/>
                <c:pt idx="0">
                  <c:v>54855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86-4BE5-9CEA-43601B6A91A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725092047"/>
        <c:axId val="1725098287"/>
      </c:barChart>
      <c:catAx>
        <c:axId val="1725092047"/>
        <c:scaling>
          <c:orientation val="minMax"/>
        </c:scaling>
        <c:delete val="1"/>
        <c:axPos val="b"/>
        <c:majorTickMark val="none"/>
        <c:minorTickMark val="none"/>
        <c:tickLblPos val="nextTo"/>
        <c:crossAx val="1725098287"/>
        <c:crosses val="autoZero"/>
        <c:auto val="1"/>
        <c:lblAlgn val="ctr"/>
        <c:lblOffset val="100"/>
        <c:noMultiLvlLbl val="0"/>
      </c:catAx>
      <c:valAx>
        <c:axId val="1725098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2509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758836126726336E-2"/>
          <c:y val="0.10356853728154368"/>
          <c:w val="0.70663777717952825"/>
          <c:h val="0.67304772073377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'pivot table'!$C$19:$D$19</c:f>
              <c:numCache>
                <c:formatCode>0%</c:formatCode>
                <c:ptCount val="2"/>
                <c:pt idx="0" formatCode="General">
                  <c:v>30988</c:v>
                </c:pt>
                <c:pt idx="1">
                  <c:v>0.56490748336523566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E-44EE-B3FD-262AE16D4474}"/>
            </c:ext>
          </c:extLst>
        </c:ser>
        <c:ser>
          <c:idx val="1"/>
          <c:order val="1"/>
          <c:tx>
            <c:strRef>
              <c:f>'pivot table'!$B$20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glow>
                <a:schemeClr val="accent1">
                  <a:alpha val="72000"/>
                </a:schemeClr>
              </a:glow>
              <a:softEdge rad="0"/>
            </a:effectLst>
            <a:scene3d>
              <a:camera prst="orthographicFront"/>
              <a:lightRig rig="threePt" dir="t">
                <a:rot lat="0" lon="0" rev="600000"/>
              </a:lightRig>
            </a:scene3d>
            <a:sp3d>
              <a:bevelT w="63500" h="393700"/>
              <a:bevelB h="215900"/>
            </a:sp3d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19050">
                <a:solidFill>
                  <a:schemeClr val="tx1"/>
                </a:solidFill>
              </a:ln>
              <a:effectLst>
                <a:glow>
                  <a:schemeClr val="accent1">
                    <a:alpha val="72000"/>
                  </a:schemeClr>
                </a:glow>
                <a:softEdge rad="0"/>
              </a:effectLst>
              <a:scene3d>
                <a:camera prst="orthographicFront"/>
                <a:lightRig rig="threePt" dir="t">
                  <a:rot lat="0" lon="0" rev="600000"/>
                </a:lightRig>
              </a:scene3d>
              <a:sp3d>
                <a:bevelT w="63500" h="393700"/>
                <a:bevelB h="215900"/>
              </a:sp3d>
            </c:spPr>
            <c:extLst>
              <c:ext xmlns:c16="http://schemas.microsoft.com/office/drawing/2014/chart" uri="{C3380CC4-5D6E-409C-BE32-E72D297353CC}">
                <c16:uniqueId val="{00000002-CCEE-44EE-B3FD-262AE16D4474}"/>
              </c:ext>
            </c:extLst>
          </c:dPt>
          <c:dLbls>
            <c:dLbl>
              <c:idx val="0"/>
              <c:tx>
                <c:strRef>
                  <c:f>'pivot table'!$D$19</c:f>
                  <c:strCache>
                    <c:ptCount val="1"/>
                    <c:pt idx="0">
                      <c:v>56%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{DD948239-57ED-419C-93C4-C14C89F59B0B}</c15:txfldGUID>
                      <c15:f>'pivot table'!$D$19</c15:f>
                      <c15:dlblFieldTableCache>
                        <c:ptCount val="1"/>
                        <c:pt idx="0">
                          <c:v>56%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CEE-44EE-B3FD-262AE16D44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'pivot table'!$C$20</c:f>
              <c:numCache>
                <c:formatCode>General</c:formatCode>
                <c:ptCount val="1"/>
                <c:pt idx="0">
                  <c:v>54855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EE-44EE-B3FD-262AE16D4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69677183"/>
        <c:axId val="1369660863"/>
      </c:barChart>
      <c:catAx>
        <c:axId val="1369677183"/>
        <c:scaling>
          <c:orientation val="minMax"/>
        </c:scaling>
        <c:delete val="1"/>
        <c:axPos val="b"/>
        <c:majorTickMark val="none"/>
        <c:minorTickMark val="none"/>
        <c:tickLblPos val="nextTo"/>
        <c:crossAx val="1369660863"/>
        <c:crosses val="autoZero"/>
        <c:auto val="1"/>
        <c:lblAlgn val="ctr"/>
        <c:lblOffset val="100"/>
        <c:noMultiLvlLbl val="0"/>
      </c:catAx>
      <c:valAx>
        <c:axId val="1369660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967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73C1DA00-6F84-483E-9E55-89852BE54B43}">
          <cx:spPr>
            <a:solidFill>
              <a:schemeClr val="accent2">
                <a:lumMod val="60000"/>
                <a:lumOff val="40000"/>
              </a:schemeClr>
            </a:solidFill>
            <a:effectLst>
              <a:softEdge rad="12700"/>
            </a:effectLst>
          </cx:spPr>
          <cx:dataPt idx="1">
            <cx:spPr>
              <a:solidFill>
                <a:srgbClr val="E97132">
                  <a:lumMod val="20000"/>
                  <a:lumOff val="80000"/>
                </a:srgbClr>
              </a:solidFill>
            </cx:spPr>
          </cx:dataPt>
          <cx:dataPt idx="4">
            <cx:spPr>
              <a:solidFill>
                <a:srgbClr val="E97132">
                  <a:lumMod val="75000"/>
                </a:srgbClr>
              </a:solidFill>
            </cx:spPr>
          </cx:dataPt>
          <cx:dataPt idx="7">
            <cx:spPr>
              <a:solidFill>
                <a:srgbClr val="E97132">
                  <a:lumMod val="60000"/>
                  <a:lumOff val="40000"/>
                </a:srgbClr>
              </a:solidFill>
            </cx:spPr>
          </cx:dataPt>
          <cx:dataPt idx="8">
            <cx:spPr>
              <a:solidFill>
                <a:srgbClr val="E97132">
                  <a:lumMod val="60000"/>
                  <a:lumOff val="40000"/>
                </a:srgbClr>
              </a:solidFill>
            </cx:spPr>
          </cx:dataPt>
          <cx:dataPt idx="9">
            <cx:spPr>
              <a:solidFill>
                <a:srgbClr val="E97132">
                  <a:lumMod val="40000"/>
                  <a:lumOff val="60000"/>
                </a:srgbClr>
              </a:solidFill>
            </cx:spPr>
          </cx:dataPt>
          <cx:dataLabels>
            <cx:spPr>
              <a:ln>
                <a:solidFill>
                  <a:schemeClr val="bg2"/>
                </a:solidFill>
              </a:ln>
              <a:effectLst>
                <a:softEdge rad="63500"/>
              </a:effectLst>
            </cx:spPr>
            <cx:visibility seriesName="0" categoryName="0" value="1"/>
            <cx:dataLabel idx="2">
              <cx:spPr>
                <a:solidFill>
                  <a:schemeClr val="bg1"/>
                </a:solidFill>
              </cx:spPr>
            </cx:dataLabel>
          </cx:dataLabels>
          <cx:dataId val="0"/>
        </cx:series>
      </cx:plotAreaRegion>
      <cx:axis id="0">
        <cx:catScaling gapWidth="0.150000006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rgbClr val="FFFF00"/>
                </a:solidFill>
              </a:defRPr>
            </a:pPr>
            <a:endParaRPr lang="en-US" sz="900" b="0" i="0" u="none" strike="noStrike" baseline="0">
              <a:solidFill>
                <a:srgbClr val="FFFF00"/>
              </a:solidFill>
              <a:latin typeface="Aptos Narrow" panose="02110004020202020204"/>
            </a:endParaRPr>
          </a:p>
        </cx:txPr>
      </cx:axis>
    </cx:plotArea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plotArea>
      <cx:plotAreaRegion>
        <cx:series layoutId="treemap" uniqueId="{5F6BFB8A-58B3-404A-B499-DBD5C6051D33}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/>
                    </a:solidFill>
                  </a:defRPr>
                </a:pPr>
                <a:endParaRPr lang="en-US" sz="9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  <cx:nf>_xlchart.v5.6</cx:nf>
      </cx:strDim>
      <cx:numDim type="colorVal">
        <cx:f>_xlchart.v5.9</cx:f>
        <cx:nf>_xlchart.v5.8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6C538B47-5B9F-404F-90B1-E32C0DFB2D84}">
          <cx:spPr>
            <a:solidFill>
              <a:schemeClr val="accent2">
                <a:lumMod val="20000"/>
                <a:lumOff val="8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1FxZc9240f0rLj9/1IDYCKQyqQrIu2q1Ni8vLFmWSYIkSIAEt1//tbxMrDvK2Kk4D1aNPSWRuGjg
AN2nT7f19/vpb/fVw517MdWV6f52P/3+Mu/79m+//dbd5w/1XXdUF/eu6ZqP/dF9U//WfPxY3D/8
9sHdjYXJfsMopL/d53euf5he/uPv8GnZQ3PS3N/1RWNe+Qc3Xz50vuq7v3j27KMXdx/qwiRF17vi
vg9/f5k8VHnx8sWD6Yt+vp7bh99fPnnl5YvfDj/oT5O+qMCu3n+AsVgccUqIRJyjT1/hyxdVY7Iv
j6PoKAwZjQQL5acv/nXqs7sahn/Xmk+23H344B66Dtby6f9/DHtiOPz05OWL+8ab/nG3Mti431/u
zIfi7uWLomvizw/i5tHq3dmnZf72dJ//8feDH8DCD37yDRSHu/S9R39C4vjB3VVg3M+CIkRHlEoR
RRF9igE/okhgTsMvEOGvc37G4Pt2PA/C13EHKBz/Wiic3sGtu+vy3v1MKOQRZRgJwuSzt4IfhUhI
gunnSyHZU0R+0KbnYXky+ACb0+0vdUO2RX0HTrF6ceHuPjx0+ddd+u/dFgmPJCaMc4GfBSg6woTj
kHDx+fGB2/pPDHsepT9/wgFU24tfCqrXD13/Qj2Y7K76eShhciQYDRmKoiceTURHMsJcUvL8/flB
Y55H5sngA1Beq18KlOu7uqhenN198D8PkzA8QiEPERLiCSaRgCgTIYwYYPU5pH0OLz9mxPNYfDv2
AIprCOG/ULCP8/yu74suu3M/0Y3h8AiDD6MSgs2nr6fsS+AjREMcMXQQ8n/UmudReTr6AJf4+pfC
5fjOmbv+rvyZwZ8eRSGimNJnQYkg+PNIhgxY86cv8vS+/JBFzwPzzdADVI7/+Uuh8s+uu6u/bst/
H+0xPyKMEiFD8SVgPHFdEh8JuCQSyecR+a41z6PxZdgBEv+8+qWQuLzTd12f35mfigYTlGAioufQ
iB6DPgqxCKPPPu2AHP+QRc8j8s3QA1Qu978UKhuvIWnpfyIm+IhLCCUMfYFEPrkhUXjEZIQYYfjz
84MY/wP2PI/IHwMP8Nj8WnhcP1R3QH3Nz4wi0RHkHpyBz3oKhTxCSD6G/C/JIzx+Qrd+xJTnwfhm
FQdwXG9+qetx0/egxP30pBHCyKekMQT2+xzbQkeQUMIVEc+HkR+26nl0DoYfIHTza6WLp3cf8vnu
fwAROWIEIgdjXxL3p4QYkhQshOSEfJEjD7jXj5v1PEaH4w9AOv21QIoh7H8ofm7GQtBRhCWwMfG8
XsyPIoEYAPiFG4CU+a13+zGTngfn27EHwMTbX8q/7UGyLB/B+bo5P4EikyPOeIjlV+f1NOoIBr6N
hgTzLwz6AJcfsuh5WL4ZeoDK/tdC5ZODvvvJuMB9gV1HQM34Z+b1FJdIHoHiQgC2L7ztgCz/oE3P
I/Nk8AE2N8e/1I258Ebfvf951wVgERSHTOKnymTEjqDMIpBEX/zXQYD5vh3PQ/F13AEKF7+WHvlP
8yF3/4OoH7IjiPgMsvuv6cshZZb8UUeWXyjzASg/btbz4ByOPwDpn79W1FcFRJefd1MwOwK1C+q/
jDxLmuExkpxTeSBRfteM57H4MuwAAnX5S3mr9q6CckphHr4Hw0+sTj+vpX9bm37yxn/aJoBBgcOg
Q3+ttwHa37YJyCPCCY8QYZ8PyYG+8KWM/++tef4wfBn2xPD/cU/Av0fkjy6KBPTm1af2i29aBv76
6aflQUfIwdAv1PhZ9vd5r3Yffn8ZwuUCuvZHW8fjhzwh1V8L+X8a8gDS3+8voYeDfFJOoWYtBI9C
0IZGOJ/whB4JQYRAPGSYUBIB+zCN63OYFB9FCBIxSSPQ+bhk4HO7xj8+ghyMgsAnJVQmwsc6Hv+j
4+WiqeasMX9sxpfvXxhfXzSF6TtoOOHo5Yv283uPq4soRFoO7gVKT4hCZsdhre393SW01cDr4f9J
r4OxLMNyRdJ+xdOmGZVveFXEORh0YnTl4hR5fMzJ0mxRTfpdU7uyikUt29O8DPrXdKQoV0bk+g1v
3chihEyzq9KQN0qKUkTK5r1ZZ2wQ5yjvudgNnI/FiWO2uacL88ediaTbe8S9i31T+GGd0bQrYrrk
vFz1gURGdUWrp0RTxJO8rrIPpmWsTsQgOEkE0W5UfUVyq+ZhmszxGJTRDZq1LlcmzKcTtqD0eOms
83uRI/7aLiN+nUZYXHd5MJ43S9/mali6QHGDsv0QCu5VUeadUKLyco/DcjnrzGgmVQWo6NVADR32
2KU5Wo0udcGezzm+Qmb0bF2WsqgSOy+WqzILpVYjVGlNQst8Ss/zqPPLiuWLN3FTU16pzo7VeM6H
OupOoBOl72KcUlfFbVPSSOU6nAblo8yhuNB1+9GOU3OCfVB0K1TM7qSZNWLbJu8IjUFhYbmio56v
xgXXRKUlLvJ1309VH5ui1zIZZYBGxce2vC+DZml3c+irJpm7EiagGRdvUNHp8zJI5RaQoddI6GE7
p+l8ljazvMDjYHpVSO2mVdeh5gYT4gu16HpKNzxz5b51E8piOrjpFrVl9Kq0iN+jSZBi5blntar9
BFsjMrHUatS8WnnW4dfWF/61yBgd1mNFOxELVCMf0yiyx7r25ormte2VFtZq1fZhMO7o1OdznNbZ
lOQCZkhYj4Z65T0hl7qmzZZltnjV1bRv1BBqfh+inDs4kHiO4lLi8UxXQ34sM1IlmQ/5AzV5l6l0
YS6L00FOsAXpInd0CPScWFbgNPHRGMJ7IX9nI0+8qjkiZTwusp5iXtOWrkeEF7adp2BJ1eyLFCWe
02VI/OCjt9ZkuVOI8G7fiWUqE9qKhikr2oIp1Dr/kYfLRBP4CJPGBWqJjOu2HAeFhfXrNKRCrxEx
6at6mDKF27kc1+UEC1NjLl2oZjO3hcpw705sxcsPvqAZ2ok6QLFJmXcJr3RjuBppLkoFN7q+krIQ
SRd5UWo1VDUOsOqo07ftIs+qyE8r490Y9Qpx2R4jbCUcR76t5mjUW9QhfWvwiDbUzMsqKuhyksmu
Op7zAa/thFMbF+UYjaezNH34KnRFc+tGksihI9uQDaOPJelbvaeyNldZrld91c3DRqdht+xqByfF
lpqdIi8Kp3ph0AgTkJwqlAZF+5509XKCh3CQcdnCOdkHOC3nWxBRbBDbeR5Qpsg88XI9eFQ5p9yg
ZaFqXRbv08Dml6M3/H1ZjbZNUNbbfDfOlVnOi7IK5ziEK+PXkrUcJaPIpmBWUvZE7Lhc/HJOMj8v
p0EQ6Nt+7qNSWdIzv/YTnUetWI59tA36Gdy8SrtcBCoro2YtAmvvmqk9Np3QqwKVyTQ3ViG4SXHL
PI2BsMNq1f+xVs7It96uynpqLzo89Juwbcv1tx16T+LCfdPOrsjyL82Qf3z7j+umhv8+tez964eP
vZT/+u70axPmX761eWgeexe6w5ceg/sfn/Wv5sDHgPpHp+BBiP7ctvlv4vdfPvyx4E449Ff+VXB/
0s7yrwj/ZdznCC/REeJUIGjgiODyQaX0a4QH3UeAXMcF1CEIgr8huH6J8PixRwo6PiDVfUyDIwKP
vkR4aEtg9LGEF6FICBZR/J9EeOi1ehLf+aMmBd0+QCDDKIJ2h6fxPaJBZivBxcblvlxbpKUaMl4k
rCiF6s28+2Z7niEUITCTw/loGGJwyrAjUGZ55Bvf8AmNpxT6XWW0Ccsu22S41A+UUPtqCE27muZh
TOoUArHy8FanlnkQUumc+dvFpVU8DpjclEMqhuQ7doF0/Se7sECCIoaxZBFQ6G/tkl1XUD3XYjPi
6l1vwI5wDISKwFHjnu6lXJpNUxG3TosKgsl8ypxHUGf7gxg+szmPXOpbrgVYUAJkD4EiBboUO7Ch
FJank/Zi0xaT3aRll+5FWDTXfz3LM4hD84RgIiIygqL84/NvEIhgk3W+aLEhDduycnwtaFRsx6Jq
lR278Tsb+8yaIDeF1dCIYdClD86Xwy5EkxZyI03E15OYKqV9i78zC1zKw50Dwvso03HolYY06Oma
wKGHdmRptGF5Dcso51GZyl8O0Db+H2+eDCn/RL2ZgLbspxOxYIEdfTy+aYGQqgP9cSwWG5fEXBBd
fm6M/twX/cx5eAYpGQLpZpIAp4fk7elkk6dNE3U02jSEorgSIVUQM8ukXngVT5pv/3pt+BGLg/Mn
cSgIAb0A+s4fe9C+PRlFKOjioiza2ICWEAYbeTJGKbqswpwDrc/LpDWWr/N+xNul0c06RHX6nlfE
KGC+9lKXwm2IqYeElDwNFWK2BcYpqoSxZbnocVu3iciNtDuvTRGTuha9cu2SD6oZ7Ri3/RImnmk+
KKT5K1fX7tVfrzF85p5LJjmWGIEv/tN5HE2BRzYX0SYzOd5pFojdPDAURwO7CWazbnXa7YzLPkYk
b1cUl/h6zKj4zlY/d14leG4qoQ+DEXqw007P1LC0kpuq8nQ30eLMAHdSj+wz/usF/3kmaJKG+AF1
U8Fgrw9mytu8G6WWYhOlRR1PXgjlmvpdlyO8+uuZ4GT++cBKSBRD4CEU8tXPz79xLbYOSRDhLtpQ
OeBVOQTF1oHHv8CIT5c8gIOAbX+dlVO90r6fy6QXyMYpN+2oymYat7Jrq80cRdKrzjN+5YuB3bHB
iu3IdV/FxPr5SnY9Pen7oTku87rYGJfPtWpDr6d1JSSLrQ9tjOrI75CcxbbNKV9LZ+ZNYDubOGfx
ijAnQ3gRVaFiWcPSzdhjG2d1mJ76XLNzw8JJx13e8VU2TDgZIlGcp6jWd7PVNfB9Oa5QJZftLFmg
msFGu9L20ZuCLPR8xLDwpaNdHKSoUkw6vhcIp6chJAmy7MmqStt6l7PCxV0dNqqZfHtNsWvfYG/a
O5EhobLcGqzy2aaxacZuFZlhXhtpqm2Ben0VoNaeQwIkrJqidkxKNy1OTSOxb9ppSE/dkKe3uVyK
zVBbcc/HbmpUisjbMtCvTYVlpiC748e6d+dEOnIW1XliUbElNKi3ZghJCx4gw5dhKJpOkZyLY0RJ
d74MM1JAg/kG0uVyA8tpYzFADptWtki6pfHVfmiKCSnwUvOJ9BLALEpf+8Tj1EexD2yxqew4PABl
gj0ZiTnJc9OqpvLhme3TFLaMYL+zDe1eh50ZHrm6tknN2o6r1CF5C7Rt7hUzsr8RVU133qMhHi0Q
egda9YkdeL1qLEo7VWSiTWO7QOh/zLXrVOmKNj4pB1FscSbd2gjAG3cDbN8QdOwu5eWYZIAtOKEh
LFYUlIS3eYvn40hi+hZEBDQogcr8fMgsYkoMJcwjPIKMFJzHBJ6Tzg4y+3qUt2PH+uqWkMqoASF9
b5mGNUQpgxMvB91dVRSIUFLnY7vKgeLs687FVUijj0tGZq2QByUmQT1J9UbgVi9Kl34+wWVt9wvv
eZMU1QgZLs+QytOJb/ACBEeBP6jfQ64/SJU1aZBI6uzOyTpSJCv9dkjRdMqXICuUppncNE2wuBiV
NSgmJj0r/ZRtGWmGXE0mBHvz0ZFG5aLnRVxjnksVBAUkVaNb+yG0+1wyd5z1pr4iZuzjspjXUxvl
1xjJaVUUbb/uwLbtGDTZWtpebqFHrQZ8pzrJ+ATno1pKMDWvPF9HTRbeDiB7HZPZPjQhs6vCuwL4
qbXvZCp5CASV2F0QQqrGA43jEg+gL4QLGzeB4DSxVQm7j0R5KryRcT7N+S43TsBaGaR6Hfy7COQy
faZNOG4FcemHkiwsVaUex1eDRm1SAcRXaUTQVhdBtRrnId8EE0RhoKLufmB1/wrLbt7KMag3rvNi
ZXEWrgUigaqxXE8DEMRpCelxike9miI/Kuc1VUO7z1ghjrtG2D6ulxGkwC4TcarTm2we6LF1YXYe
lDM+dq6XdwXIVzeQ6ferKssIU6AkeWDlLt1C4bLZ5nVfrCYGehMTQbYvynBIeAvkuMYsP87a4Y0Q
rtuLBoEAweZZjd77rUsXc9pXTPi4peOSNKagKuNOVyoKKh1Tr5tkqoF4EwaqFrH5atDRcoVt1J22
C6TFUwEeFwVYxxDmi4215XTRDc240zhI37QZZNS+XOQNt3RZTW4OEjNHy2km9RvPJd80HWgh0qRd
nPGLtKovESqrXZ3XfDd6UoIopZNsGYZN5UWwbggfH0Bb67Eq27Je4K4F4ZtJWnJKq+50TPMuEa3O
4mlEc4zpHJ5UPaGZ4iKv1q6KyoRVzbhuqGxVF/aQUIS8VYtzw2XataZYOxp1quoXrLQJPk68U/UY
sWsgScvGW1ANWQNXGfr2N2HI2Wocm/CUmv5VW7gTos2sojBo4wU8+CZNzV3YNC7OYeXEleCAskZZ
2k+qi7okLxa6mkAii4kfyZkdfXppUFqvojSbj7Wgp7QZTCJFsKiJ8Gk9jt6+S2Uq4mgOm5jPywVn
Vqz1aDiodNPI35gon1Zhlc3ryKYlAVksS0EcNQFoQs1s2hvgZdMrbAqyrThJN64YqzgEZ3NW1KhV
oQ3kVQ7rfevkOLiknCoHu8FrPoE7t3pSYeWbKIlsk6IVm105rHgDO6I6uUQXFTMgUWbgvF4Pueve
gziUotiCYut3mZ4nseamNnHfLR9nXBiVFbxUY+Tv6qVqdvBxC2g2U7fW1NEYqow26ebqEnx/gsD5
nMEltJtFd2mMiSzfYkTsHmdppkK/LCqcR5uUVZavi6KcFRSP4RqP7tgt6XQeVfR2wAVKMhnckGps
YwJB/oIHjVh3S6rLuMxDE6mUj3Byy66Kl4jaK9DIr6Kis9um1YGS/YK2fVfq/TR3dFtb73c+1Tl4
eW/sBrRztBksxpusqfgGXEqwSl2H1Nji6mTua3zh26pIDMrN20bQbmUpW6XBrI+NA28xdbL5CAGp
WGkzVtuFo+EmC1Fo4mJi44OrFkZVg0ydaNctalkkAs7I5nUQiGYrqqbejUX3scG42U9jGl5Bb5Zd
OzRfFG4o9/PCWNxIMnkVhsFwO5Rl9pEtpVvlgM25FTPaRcym68BId7mwKlt3dfrBSevPQhNk66qQ
Zs+FLkpwj77cTgOaNqNu5tinFpS4Gr2yCxVxR3K8XsQwrZeUUZAXaWb2msFJEBNG65D4Xk1YL+tm
KspjOheyUn3tizGeyn6MPUubezzh6jg1uOzXpocdkVxXm9TIcEfzRqg258cl9W9mNzWnUzOdTVXT
fWB1609sS9okCysQWAU+86TpVjKFLnjScbapkR12NZs3ZRPcmnQuS+WXNltZk5p9k9Z6lbdTBvIu
r2+mburPZDQ2GwRBcDu12d7MtbuhbS6UyQVOrBzcB2vGBSI3kAKFi6aIG5+NSYvBN5cNz86i1mSv
wsGYuEMt6NggmJaKIBDRQcgYLqbcvW5n0MibwJ/keKjieh5XTQ5+e+nLdlX5KXHNBPre0CybQfZD
XOFBdUsbneIlrGHOongFxJ45lek0mZe0zZQhAqt6MredDop1G5nVUKJ7w4utH8N+V/nZqSjv8JY0
UbYSIIdC7Jvoti/YsqkCo7yM1l3DovXM57lQbRuIvWwmnWBSRFtSXQ9TUCfWl2ECKVRibNZugMqX
K5HJbMVznW7yQRYbAvMrV7P73rL0TVTzXrUIbvM489Wil23f2pu5h8pJN8z7PvC3QuPhIh8WUHzd
W9kHEKPz4F6ADIxJeWoKfpUNEKGKOjyvpughKx/cKIaNLQqvUJFd99znqrbtvmXRScHC0wAvPgZd
ujupXHDi4ASdUCTLTToScd9MkV5nuI4hSsVGtMOGcFu/XsgHkOKqtcA2jMNR13Fl20p5NgcAYFdc
Q+GpAy9mbtwibrnV8MfelW36bmrYSR5Wbylm/TGUEqBGVTm9NnV+k2O5ZXV9PQr91mC7a3taxawz
Z4SXYDseGsXbYVz5Yc5Ur6G2hgOvE8pAv8gt3hkz2vXIq0sNt2pX6fw9yA47Ps5JICxTAQ5Vb4ch
sTpPt9B/NpwbmbHzuY26h76qJIhmbFemQb2XBePrIR2XTT2m70sSQWIO6f51bynUBSDJhysbMH6f
L2G7rjsaZ2nN1k6iaj+XFYKCExQPgEpxu6IEaiN5JXzSTUYnIpROSWNOMXVT3JkJuEqbSkjuR7oJ
oNyz6caihKw+AA4DC9ZYl+AKfKoEpSZZGsAb8tZGjUF0JXh2TslYxBy7d0O9rDtQzZXhwD7rEnvF
UvD5bQaEnsjLfCGnRKev+9mc1TylykyAexa0SOmocrs8X1oI+uYG9XSK3UAUnnT7RodDk4SRblXR
vI8C+ppXqI8XBzF7bjsAzZW3LSb+Yq6G+nYCMVTNjFVbN2bhli64WbVpPqvWdvquGHy/yaHuBC6l
0fvIIKfmyAaJrUfgtpF7Z0I/bCjnsFKkR6gqDOcstLPKa9KsFlL5j9Gck/OimYDdcVKtZ4SadSCn
PplLdGogZ1lryH/2o0mBHPEmZthduB4SDNYK+yZvA7Yxeeo3ILFcWZ8167S1MRuyMwH08LyzgV9N
4DtWVKb8tJG4BNI/Qd5chM6eLRhqp66YyjXikBwL416TUi8rLwha48KhVZb2Mo5GPl3jAKpCkWmB
S7oRrbMmau4nWNQ+clGV8AkgxaFvtzgP/AbiLTprbY52WVOafW23UP3RK24afIpmW62yzuvTkgh6
24UNvxUTe0inECcYm2GTVwS9roaq35pQB1dtO7j3I5zti94JfjoXpI01IcGm7fNhM9VTHo+V7M6Y
7+oVBRknifI8UsgWLlMjsHmoD4cdVHybMg581pM1Cgs4hl3ERFxBgQgpn7d+19UVUhOq3s4WqGIG
itd9muVmVVio9OQOqFAPKfJGakZAq9bAlTTyW24NS7ThHAqb/fzWL3MCCRNfVXB916gL/S6lmqxG
zcbEQSnyokBMA1ss230U5UNiOv4qByEqHmpAfJml3OKBhesJtJRS6dFvGtwVp3RybqdRtTJynNYS
LjrkUrU7bnQxrHThgFcyUp/K0QPBNVUeszIck2FJ8127DG7jJ8w3ddWzY5hnXnkoX28WhodtWo5i
nwqZgubS2IQUwOYhAbsaO0zelUaHMZ/6D5Mk45uwzN6ZaKlO7ZSnr6ti+QDpuLuUo61ylbnAx0Xg
u3VYuuE4QN0Nxuw1TNvtjZO7nHu66nKgwx2d59ilILnhqSs6AMrlZxgFoA0Z15FV7RFoQXUQgupY
8DgTBo5P07Rrljdptoakj772mQsTOILt60FDmE7LplfC+AGKtw3kVrPm5hVoFeamDUYZO5m3d7rM
yWUxFOgCW0tW+QypoeJL4S5KLN/bqpaXoMfxuA1Ir6BS28Rjuui4lxEBgclHJ2Vn3IlpbLnicip3
w2RAErUpX9mgqTdBkJu47YRRJAqL/ZzPCyRmromUCJsx1mZ5N3YUbbMlm9/kjYNeAa0dKBz8fTQ1
GsiBnGMoEGSrribteUXSJi6HuTjhA2Ra8BsP9A6O3ytJeRsqZzK7nTKSn2SD0aulaYpjPAxFpYIS
FNXjavJVpKgnw6tZI/ph0KPF+2Ap580wQrkxJnyJ3oRmQuWKjtHEVs7nxccGDlkUk3bW7Umewe84
WWoZRXGFApeuRDD1FLoUXPVm5MyvgnmETG/pl2uEM7pphwqi41zSBKomV5p78JnSlfd1avO1FuGU
iGnKVsjwLi67lt2kpTku++FM1KHbVxFlqikhdsBdrZZT42q50pEgsIpo6bzKjc1VH1XNLUzkbuA3
xTRvykffGTb1WWP6cq1NG52wXIbrKhxzcHOiN2/bpiX7ntV4tdComRPa2BTKyulwM0IHxlWZDva6
KAk9RbWEXo2AIoUMVHHnABoP4q5qq23Yygkqy1HhE7ukC1f9HIJPrBHE36CpRK2guD/EWTQGqyJq
LFU0D3Rc9T5d2ygDLX22ZZqUJQQDFXkftIrbrloH6djecWgzYI+YlNcR+J8zXwv4jTWGBbVKIZnc
eNhqcQLxOy/XBXaXKevAe5WX0Eteb+SQTzED/VK1EmWnI/MXNAtZAkrOEHfpwP+fvTPbkhPHuvCr
/C9ALwmEQLdAzBk5OwffsGynU4AQk0Agnv7fkVXd5XJNq+/70st2ZABCOmfvb59MVutdQ3CPkjKf
U2NzbLzwEbZeOMPoVl2/i6zMurLqUjAIqfA8k3mLCrvEil6dQ1n1ierNU9SXVZEVKvDQIHT8C0cr
tRc29tNhABg0i7GDVzZO92gpc7z/utrpwuObpe/wrcbiZXY4/fwQrIBHFdlB+nhbjc8OzWLXpF3n
p8kV+34e5x2UWgowKCewsxuzCURMkmbyVFqXEds3Y1OnrlD9MYjLez4206a19pgzsngpVgvNOFTh
DVSd6RyZyv+6tFGZZ7rSmqIGd9FuHIgNIYV244lFw7SLotBrsXmR+I1XVuwm53fPkD+6uyY2472c
4/ElFnF1gzuPvhjS3ZbaIbpBLTenvJfxVuPty4j1v4+FHPZipctNuErAHUTU+VdosKjwoZfDzg/k
mCcMex5JrMGsme2kGk9tZtl3VapaMY7vihG6bAjNV5LxeYHtqMOmwJ4ZdOITztIpTIqghpoVuglt
sGrzYT2MwnUtim4CSzUe62RtI30eQ1V9UtzmG1rE/ZWRfM5ycnFc8tL77LouXeqy2NRFi0+fZnMf
zh3b6Y6SG8giET7aCMgXBopeGEULRHTUsiLtl96vbzqFbbrwSQKnZ0mbocnCjtmbvK6z0VQmmYNq
gw4oT7uhe5/W4VMzLuJTs8wNjl3pqiiRjdFZRNcX3SzPqymBJY3K3xa2zDyjiiTuRpm2riyPsoUm
BEPnIOvSezKzV2aihHYJ2V2lZbGWxy5fMq0Lth1bdF29DKs9MHI0s5Z5EF6KITiggrVNUg6ar1sy
4lRMWhN3BtLOLJp0iMcqYWaeZBJ7xbQmcFW869YErt0SD0RbAkWjeAiiIDyh6GsPfsXbzVgW3QO3
TrdJNHJqkk4buNQQPHierJM/3pqgYRQbWMAfiez6/aAkmsgB3UqbBYC4jh7yCWPiiFu2KjZAjyRk
TTJH/AXXtW5Hp83FqAjbp2C1Y3DpWOrbnMgWws3aB2/O71H0ep0nsk401E+hLHafYnfZLJW9SMgq
yIN3xpWPUiiOvV0FDwHHG/SS53BR0cvoiugKjlR7roEI3IM5jA4cpMknEkrZZTz0igpVNZsNEDoj
Xq2LWxQynm4OBCccwdomJeQ0DtEO8Bbercq2TZ95lF04KBZ8mvAKP+Wk6t5V1Kxo/IXRN01PfFgM
fUXWpBdMvfVeSA754pY9gTPyUOowl5kqPINzp+WfHVjFm7Cr6q91tOZQTKW8mZaWvUxeYNEdT1J/
qUKxHjvN8OdmFpAhag8NU7rowaaia8MH0YZxd6Hq6BfTSX8/D6PViYkLfqtIDjUi7o289VYGbbfw
tn6Rl0/EiPG9bfz2CSZS/qylbl89vPsbz+DOV7id6sBRSe5dU67PuWuLl0b6eDVdmY+v/uDxL1CB
2WdASya13QqEICglFhtK+DWw0abBEjl2HgPWo9tqoyO3vPtrPKcedJu0IYwlxsRMp65vgicv1MUh
WIg7D/MsXivqq5REpk2Ii8sjh8zM4WOM3bZrh/zLCpEFL0Bb969xM+bHFbU2iuq1HnYKBWAyGm2K
rbThIw6v5rttpvaWNwPZwWzwgiQE57ZBmVelVHmfS8g9bQIfnkC7IXlmqax3VqrqGhzH2CTY9vtN
0Hb6FnbZiC5PQu8KyxpFSePr7sGZeRCJcnWMmxNChGS+qc7+ONcHNrv4sOTFeCxZ271VKNL6tKVj
0KcVjeoVcFtZPxoxE5KNSrdnbBhxl7ESTw6I29Du0CYvfmr9Hl10q8NKb5qyVqizeeR/owBA7yBY
z7eE5P1DaKP2e9hP9bkhjTquU87fBQvjcz523ZVkkeelPrXBeziN7Xflq5klnm2n1wboyUs1DCZK
6iAaeBaXPTBNNzMGlK8J+B5LVWQFDNJHE/a0SsDurWUCXJXce8PInmSk9VsjhycKmi1tDCoS67q1
SqJa0gWKe69u12l2X7QRRZQO0E4n1FNgZSNI7+vejJD1QrBxeos2ADd56iwKDI93KzlWRc90VowU
AOew5OW1W8awzUK4rtgjZBNvA5Bfp6LC+ZUp6BXbee2xdHRjdZ36MQ4b3ygY0V3skbPt2QLbqpn8
azJFEOyicXRpyCP5ZRq6XGVyMC+Muq7KdAQszuqhvS/woOItiw37ZGAQug3RffSG0ojZRJTafatk
M0Ncqbuo2neRBr0Ix9i5LVZzZXY5xZmZjINZeBqJhn+eWsGLpEPJf5J5MH/i4+VkE3zeydWDau81
VBxl5L4Og1oTOMfzkqC1xnuCGglXADOB+jxtexy50LEX+DjRq6zX+m2Qcw7JcgzTgjugIpRehSMk
TJwFbOC7gHFWZBEUbD8pwwGGR4C/eKSjtVPSOUabTScDDaeDRu24YUUJ6czQ6ltuWH2IWBn6aS1H
QjNMYig3us77b4OLHE5dRnH8w7pxJ6W8OiXzyF/AAuP4qCSaNz3kWu2HWgVvVT2SkxtAnQIgdXTn
rG52gbI8ravRbXkNEwhLsjnMcoJRFsFMuwWDCe5zYBNOE5Obb2vVUZR4vjc8V1Ghs9mimmiL7j2w
VJxCj4ljBdrqdl4Dr05w2eboBjOcnZu8DF4tenyntowTL/Hg9u3Q27RFhq4ZpHFsgyIRdVXeFnF4
U8P33fmyl4+F1kGZ+sZb9pWmhd3Cty+2jWFfwpa4e49X7JvHIe3Qhlw5n7ZvUxhUn4KoqMl+nVsB
8Zf1LwKn+ZUnW3pdd613Lz3/n0CMC/7we+RFEDDuAQ5ucPOMXfCJH4iFQpGo64o+vvT0ME/RMd9G
vC1u6rErcW6jVL2x1Ks+EWtxlP49MMH+DJcAggIX1I98gDc/8T2r7/G4FEu8c1yONwJ0/N4OBi4C
gW0fzAtJc/RkMMZJZd/mFUfKME1621lFkwlPVnUmTONYQ+zsSJnWDQymZuHBdkYZD7/Zp7eNnAPI
MppHAQTUcN0PnLXHmVXreTTlNYBRWBUhtMEApFadTrNasa+gAsZZX3sQtpW/04vykhJ0UMZz7GXT
MAGtncPHZUJzEM6O3vYl/1Y1LUu9yI773sOGD4Q4agG4XlApkN3/cOv8P2KEQkCzxXBMpGYvGYjf
PzeNpYTbx1Ctg6FE30BuGQMjm06VOzQUyNLswGYEAr47dZM7lWZyW1FvUAVcGIPZz/JSiijVhW3i
ZNJ8U4nAHkhrirRdvNNCJvS7tUIBHFTVvqlU9A9gzgUk/XnpifASm/uIb/nxhZz7YemVOEs6Kwax
I0NXocURdkVsYl2K0+qN92D6eWZxOKfOmeKIoQnTdzhe02EgF1oPgltIG4VXbCaQPcBt/MPa/LMv
x3iMdXnJl/0MCUpoeJxyLXaKQqiCFSnFFcmb4R9+zCXd8oebIC6jnPAKYGunPz3HDoYxM3kndrA/
ncLxHXn7eR6mbFlq/tVHA489UnVpQ/MmyyfL70sUoUsGYVydwOyIm9rFCtgMXpYubPTNGEzEJSpf
vQ0ryWM3KvP097eG/ow0Xibn0DAkQCdZDO3nJ0yzr/sVggTWnjU+NoXVb8I0IhAHq1x1CXR/9iTU
TUvK9rVeoZ7B/yFpYevi6JjjGWAG9xZWYsGoT9Cjv2aebn/ZtX4J73z7H6T9G2wNNxSLNECo7T+s
7R9CWOcvTdlNw78Tfx/Brf/8t18xbQwWY0hRQnEGCg02EI8d9AWCWJhgBa40EiHQIV/gncCb/G9M
GwFLINo+mFDqB5cJPr9h2pi0FHACahMAJ/hqwHL/BtV/9ywRPPv1z//3YxAr/ulNiTGtBj8m8kOB
pUcx4+n320XYm6bziBL7aij13hVAOmQpjmxcA4RdpC/TUC6PKq6aHbN1mMKRXz5pM3oPDS2fByn6
s9fH6z2MneUUgUC4R3N8RxsNgWelRUJnBiBqack21Eb2STHkT8CIUWwp72AGODpsiqdTrcy91ygK
jmopvoYeiq7QVk0KG/O2iqs4hqipERMxl9Od9ROkpqgUa9aF3D4K5+J0yaGBrLPrzkPFliILe4ce
8iJCIIRV7Uokgvawo1kIGlAsD/Wki5ey676r1WuiDOJ9P6RLWX0u/errDFVgXzIGlgcVsipqbAqx
HjNEnXAUMvdOPFjnDE79Nex0nhgv1/eVrPuzUGjYJtSas6YqHcpwgQU009ReCkVVlC8WgG1SwayE
otpAHDBm7nFUBgdCkXypMIMOCMwkt4OvaWqwREA1jLq7J3P1NoeGZR7kuzQoXG1S1OMmjQ35rOmi
8VE5LA7ntxKiLpMPdl7SMZi9B8R/6jtbc29XA2Zuso7l5C6co7hLmJwL8AkNtSSlw+Uz/ZnkQ6IG
FSSqLkizL1Gd3+X+4m1h6ukLHTcgUuTV3N/XXSG9w7DW9alD0Kva5itsoBRClELsrcpHu0X2RJxs
a6bn0QdldDCoR4udcKU99mPYg0QUKFEzGzqOQz8iNk8rwJqQOtH+f+N9sDw1zdKAjBMGtQaL+t7B
0NCj2DgPqTBkX0Bl6Z7JIUVuMbTJjEgUzi5alS+j4cN5HUfWbWhbyTKVNGc3hWw0zcbZg9o9wpgp
Ya8kaArgoAFEpHdOjXGbisrAvEaRV0ebmdF8SRBymuf7aojyYo9eeuqPWGGBBEAt5YoYU+9fe97c
vLddqU9QAKXcjA4y1c5ClcUzBx18BPGBFNNMhxAa3yzujJWHWBEOCXPOExkidkhGnVnYZFD7Yaiz
4BqBh5faRLdLVZOsLomfmnLYFyMc1nAg57pbZdIG7b0N7Ne8Yw+IFW0cZe66FAFsYnXWYH2uKpkD
n24PvDhzbXGeRAImg1zTcQBpwHxY76N2+iCJCm5LF3jfsZyzFq6DsDA2xhKw1RLfEdLD/Lw0Q9ii
tkL7XYZLfQ/WOz3azMT4P5R2LxoQ150h5NDxosxmNFF1UkQMdUXFs1Z5bwxN9IPovBysnbmNucvQ
rJmknweJxRDLfR1C0ZmC4lEHoOSUipBmrAO5h/CtEs418lCQ0hOqW5O6dSUbNbbeF8aQ0euj3dK0
BWxQ9Oy2i+S+iWHV9W2QRazq0fqLoM1y2rRnUlb8s3Dywa91mZWxP+3mvO7wylRbxeo4o0E0ptOU
R99WtprNQN2GAiu68n0czEEegwCs84MNowdsfWdZXUjA3vlHhW511OHGVXW9ZQ4WWS8GiKDxBNeW
vNWRNMnCHaiD/CYo5ja1K3BiZuJHb7X0+zzG6uu0yvcfTqc/2+4/chG/NSYg0wEywhamAJqiy9Tx
n7jtBhCvZ0sq9p6En13oyk/EWjc0k0sX3hTATMrUW6ew20AxMGcCruZFViC0ksVa8POazwX2yZHj
reNtLm4rv5vERi5qcFiXJUrygarWJqVFGK4dGvrNuhzvM0UjnqdRV0d9UusVGodrp8FPlm6wR0WL
qdgVknvDYaAhNoumy09ojazdhh+7ifexs/Qfu4y5bDgXd9Y7TMi4+Xu8lzYrhgHsy0SYt40LVd2P
lecgp/QkOgwgeA/DzOU3P4ee7Y9yC+pnuqpzs50FCbZTWeJpVvaKsGI+haQ5gSYoTqBjq03lAyqE
kVdACZYi9RsBIWwK7ldNEQrFdnbFkW8ErOiDr7No+ymIjuwSSg2axj8GUzR+B+sMC8vKdtMHaEU3
yvRouI2iEA6gaoophV3odsh84m3hpBqwulmMXYh1tFIPpTN0Pl0IcfTnM4T6cPE3i+Bga3uwM/Bs
m6eiF0D4cg5Rj+jrsh2qk5OU3U6sWZckzmXzik3BAD+J1i3E6TaL2nVAHhHMyY3tpvhNIkG4KZvq
bqhb/8gJfkNBK3VFzxhXq661KCPAJMNILg6UXssrHfv8VMBNvmmQ8oThU7BvcW69HfXq8TYHr5cA
CZLf8h76TLJA0frsQuxeNrY+TI+J3JWW11lL6VeG2PaeLHDZQQr1SJfq4bYuILRC7djVunU72tMj
TjuwRpNnT7Hs0TUuQ7+ZC4DNxs/KgcZJP7qrbgxfCrkuG9y551ri+GcKRk0rhdt4MRIhfkcftRjh
gYLEGlgLJbvudmIJ3iSh85b33rce8CWi5YzuOiiHQQQPlVZXkLHB4eTPuUT0G7pUa+evJeUgocU1
+vgamVuEsMGKvOliodeqD763oKDPauoYwBAybOPFi/dQH7+EsTHHArBUamArvcGan4+Wx+ZOt747
GBOCx+7KONFaxTtrzbdLni9twuDNslpsYRzwtIfkn2lalidWea9roeVOO0Kvm16cq2F1aaAmHyKw
5zL4xu0WWVfwLZOB9BYOa8q7acoaQGICD1shub0ZIXyiSti2nRnPa0cHEGDO7SLWmVQv/sMg8+Vc
U1oefO1DP6GOo/ig/FouEb1TYWNuw0bCWLPlwRvjOpUzgWeUNxH0YxH6FwqpZt/hZNiNP1Go9lYC
nle83TJgLpk2IMwD7eNvy1BmFYCRHTLnAHDryXevSxhZAzLV+c+Rm+ALWvhSLyUo5ad+ZBCQm7Kq
3qGsw5DQwCvSCkQGaBagAN3Ogwstge4P+pRfzujhclqrj4O7+zjE+ceBHkAtLffxx0FvPw59mLso
AIAGoRgAUnh5JT+KBH6pF4pL5fC/buuvf2vJD90WjqXYh/Tyw4H2h3brh6ljf/o/f+m4LoPm0ceg
2hMwgCA24Iz7peOKg38FAXwNyDvIvv2+30Lu9TLaFvE0FmGo2m/9Fn7pANQKgewmxhNiViT7b/qt
6EN5+O0AjhhathipqRgvLDrCP2SZMFoAlZjnAMxRpOKwtEkLLQlB3mKDaNIkUhLm/BlWJqkzWDnl
uOmMgnos3SBpZuBtNwlILPswk1kESRSO4XasPX2Ol2ncgk8Y79vZNUnzwYaEeoXq7upyX0xtc8IX
0hnmE8z7WUx8Prswnpcr3pLh1GHER3kTTpMUCWYx4hyqa+i6pyGKjL+pira+B5oeumTVDpRNGK0B
ziAgUIh5REDmEvBCM2hPGSI0EVdVvCeiCe0eqdrq3kJF3vfOAzJPl+YlbNpFgPSl0xsujqZwKBHO
4TKYwCpwlMbA/ev80kIhQBVC0U+9mc9A+RodbEPGLdqjoEegvVxn1oIXhCVRfrgT6sOpkPA0yNFX
+YX5/3Azqljl0b6KkJcGa1c1DWhqVkYpBH++wOttvM/tlAuBsBDAmDZvqy89MOIr4xOAGwPykuVp
8SOyZnHtxibVHy6N+nBs2ot5I2fYOPWHo8Mv5o6/esF78eH4wDTrrqBwIroxW0x5GENxCSIbdK1g
7Ra1pxcDyVs9e1cFg/4WgHCAa18Vst64fvZeTM8QdchRarQ7hlbi1vPDvMt8JiFDrkgYYWZEa+vH
NqitSwg6iAEzTDg4I4Nw5zvv4H3AaQVLukZI/GyRlBIgFaIVXXE5lEGKfWxA4x0pZJOmHA0bRWO8
pV1jM38w/W3nvA4k7TDsg7Ht74sqJtf9UiKhVmH8xpzVmOy5UUCmvxAzLjgMq2CCq+jgGneROsKg
8jccXFoqls5kcNjQf6yYF7EbWd9u25C6bQHkF/t67s5ENph+EUJfW7q2fGaigpseXHxLZK3iF52P
6wNtlwUaNKwNNi42VVTMNxWN1aZWIZqZDojJRHFQTvisXVQvBtX+jILLjHGGggjovsFXmtfBRxdZ
YpAC+MYExEN+pHRs974uxBauW7MLSaGfBspg7sbBJx4wNOfch/MJjq+3J+iKWPlCly5BeavuhUUj
Xxa40nkiMfqJ0px6oGxZDlfmUycb4LHTtByDsQnQD602xYgSA1jMDSKlGsM6EgWL95aGdL0LfBtn
rqmWG6z1YNf5VdRlRRs27/HMxrspR9y5mkL6sMp5fbrUBPs6ip3YzlUf2SRYuuapLhr/GTVO9wSO
bXqfABs+RTQE6xtPe6bw2dWHP23UyG+dr/vX3tfmrrk42bPIwzbtIeQ++OWEKR4Fms8Uky7CMhHY
UyDfVqAx5sCtmcQvZvkyrzCP4KnBo/P9HsStrVU2zFZ/XWQV3cRDwD9XF+O9+PDgLTf2Hhp8vsfg
EHoodVu/RSYXLmk/PPzRC91N9eHsi4vJ7wOXBK0Qz48BhNL3IppnxH5nUn9aUeTfOb3cRm3p2WQp
Rj2kUUhnXKfX26zG3PLXAB6lt5vgPYaZqOv8GubNdHTYI+7zpZTfQWUiysjt4p7VB8pgsDXvQVSj
nqgurIMaWvipRiC4lBjl88fpA4yYpnJN1zqU94Awmy8cJeV3JMcuwcMLU0FKYHYpGApwUegcr0Jf
jjSVFwhj6UaRYbKQSliZLxv43wNwB6yBYXA9ZhFdCA52gTmQvcOQkKEeOM3Aeq0YgRLDlmtcMd3G
FEgsADe8JB1HRCKNR9/cS7/ud4B/YcnZcjIPVdWXG8xB7g+YxMBPAa/ze1kz9poPMKobsuafvdk8
kE4vUAqmGdofxhjdIWGq9L6dwfZag7k+SY7BIwe1DD5CMZ7zD5S64IqreDzXPdQtJGVEcaPCRVyD
PiPIPa3edElgsvVu5kbOex9y0gOw8PqxsDL87GMM1MZaGZ0oBiTdBQ2w35IJjmLbagTPJi1B1iIx
rdQibnTj3N4CaT6qavAGvGS20UlN5tLbjGbk6PzKvgzTmUOVxKvgf+IYJ3Un+0qe/NHyoxO5/rKY
Xnzx6mBCS07wnecgGN7oOEbbpS39R2QzYzB9TbRBkR9fyWHoviEYNH8RiEmqBHG5MU6Vp/oJENw8
7LkrkeeBfYDGljbvuWlB9Vyqjf3kgQi2fYAK3A9NeBhzDFCqZhVsgXrijroAcFI0h+12RKENrtyq
Ow+TM3gKaEx3W+DTOG/jTvTXosD2kvQ0BG1WzHb+4gU1JKlC+/l9MToIMEgPTjdUTUgQIQ+koIPp
qDnnmD6xbabSIfTuMINDwIG9a0BxidS0wkA+qaDKKIOjrrETCENuubo2ZpFbeLrtsQhNXScsqPy3
CIQ/fHF/muEfBkF5EogTiK0Pq+8Tj+ryCWc2xL8BsUxY+qK1nwEbhqe6jtFdYWT6J1Gga6FQi5o0
hhrXoKmevFNdgkg7lNY0j0HTB5CAwHmd1t4j7FQ0LnhuO6S8syUcDqXhvEuQc2iPFqrpaWwj/34h
sY8RPqAYwUJ4KY3lBVNb59u1MbghAptu4oEweEYErH1HGGZ9JqCod/XYNwezIjterXFzL/KeXUVD
ADLaccMvamWBSOQMgwpJbhbmh2ro+LksivIalrt6bmE6nVGw9WyX983UJ70R9ZVwU/wKMm9Bv8tf
CENn6bhaMthRWM6SIYwydOzRQ3MDblnXUBWDziBiEAEjr/g4wf2vEXYpQlW/NpLMTz62zg7phqE7
iYKKTYHgGJTk1V+gqsP74WU7HZzz4o0/Ijyd5962hGzWJ15VIUFUzvaz8yEdICvNYO8HkXqN3UUp
KaYgRmaTxNeBmwokkCix38Eiis2EiPqAwmhDujJIaGAuLgii8jOW/zSq8ETH+JG5fNjNwj7QyHbP
AwP5Y9kwyiSyMXasCsMPdotnLtRMLeuHEsvkuV/IAmDUrvty9jAviwa0vPdXYZfj5IWigi8My2HT
wFN/QRrffe2i2EdMArv6CPVPYFevdG4mhOCRlYAVgUKHyDoyoLAkgo055nmB2Orq17IHyQHw2drE
+Tg+d3nl03TFLJrbyjV4U0XrIAo4z7vlbflYExndypLljyWpIvjTID0OE5unjFbtAgqWtN73LtTk
cVRVsK9qh6O3lcNWkoIBILXB48wOOW75dgWxA1wvPBtNyJUmM9vMegiSRRCNlEOhD5qSBqnLRd6a
eOwyGKIIyZf0mqNUTvqBzHd535ZXaq3pVnmlV6QjxRmbzLlfwBHs5yizeetvJy2qa7osw5VELESB
GytCvddKjufhA/sY0M48hTasfcDUbRFkvms8fupRID4Bc+dxhqCWfOqx1+EEc+F9F81+lV0Uq2BL
+6a2Se7FwkMPLbA6B0zlmp0rbmU0emis4awG2MSW9RgPtn8xMHaRmufuitdRDmuhsfzJINF5h80O
I0Z0T4pXvMBkG7gZNKX2QL/jnWkeonWR506FyLnhe/qZWLv46OPC3wWG041IPcgIcUzUmwcwPgA0
67URJmXRaMi+06O/DUxgir2uu6DBrumol00GIcFE1iDy05XAO01HKQN4TSYqN+B5QdEMK/O+ePCJ
HxqZr0E6ombPOg2zd43q6bWNuOuyHqj/eYqjtAdxMaamwlStxDFLbmLD61ejFnRoBasqfWOaggTJ
1Pd1mIUFIywR8GqWjFokKFOCCW8Bkn+UodLEUt7n1heYBTih0bFRLnSiIizVVE8gp44QSrzLWBSH
IC1f6bMxHpO7kZP4JNwMY6fyZfmp9WLtoBkNbtqyqmXvZmCy3XWIb7htTkYIdiSK5ZjVEosDHjby
EUldtwz8WEFXHHq1gCoTu3u8M3OCmIeBZYR4UzZg9z8hBLMfJt2cAFqwZ2xL4T1vcRyUVS5OGBsx
PixOGYVqan2eVxkh1VqUC6YrtdWYDgUBXoctCVz7/ySSHySSbz/+MtTfOcuXoVd/7UX/btzqhxN9
+fe/mtARJlzTKAgxE4bDcuaQWX6RRHj8LwpcBEIJfpUSBhwFGGzzqwkdRP/ChBeczJh9BJ/5Y4yY
+WUaKP9XxAl+kR84jgijswXmAP8XJvTvwQekCRkY2xAG9O+tZ8xuyFtVCr4vaCbCG2P/q7lXv33u
T5a28KErG0Q6N2NYID+0orh6Lny+/MMYpb/62heG6AfABucD5kAtqA+LoR+G+5mvRD5KEPX/YNZA
c+p+U4p++/rw/n/8fKFXFU8K6R+U0Ga96ygCJGDzq5DCjiTaRzmGaSbbH9bKnzhDf3Uxl7lGP1yM
wbOvZgnHcDHQrTB/JJAD0v08/vz3nw9s4k8v5icWLRI96SqBiC4EX3amoAE0lKuK8CsHCAfYJBjU
IdGu7+7//gf+xQV98A4/XFAXk85Glx9oaxEtx7aY8illBsDb5u9/wO/Bif88np8nH8XQnMg4BRjX
oEw0Y/5qkKO/U8YvrkJVVP6ZTmpSKWYCYThFQjCIpd9i87f/xDj9xfL4efKZFnYOIW1HyNyZPr8H
99tPT0EP0xupZ3BxdxjWG/DD318svTynP1mM8eW5/ng7I21UaFy4gZ1t+zT2MfEpoO+IafSXhkSi
u08mF3lXLWKsajP57cUy9pBG0L9wSH85teyvHujlPvzwDTB/QoM7mXG/Yz9Mg6F9j8L5v+PSfnuY
P21B/8/ZuW3HqWvd+oloDSQhwW1VUdiO49iJc7yhJZkJByEQIHF6+r9X1r93s7Xi6b11m7WmShYa
Q6c+vt4jLSzJZvBOu03iS9hvgBnh7ffdv4/eS12//PvTroNvwCc6xpmkdf0LIsD+tgtwqH1F8vdS
804i6gPcjQ5VHGetEfOnaMHxbS124ZfmEicNje3SaE2GOMO7+r5nqIMCxAOXiv1risWXuu+kHrKW
UbK1DVJPDzTMceN8ZYdhQNyevIbfheq1uG+KtrUR+Rho6LpNxAAUoUn5j1fzrsyWNFvQ9ZMO8q7f
BL9HwWllPiljgt9e7YtLAnoye6YkRLnqGif53kcq20oWAMRVS7x3/nv7lzn+l9B2pQApKM+Xh7Ui
xzZyV+dljPScQeAa1aehrljq+TNOBqGsL5JFByiQM6hcuoKgqgszKI5aPNHWZllfkX6+MJtc5e6A
oq2CorwO96Ryf4QaoXoHMmT66DdWTp5Y5JpEC7ZQOQnWOmunUVDUcwCe+1nGiVxfGaqX/obLvz/5
4lVSanDLNaCpLduuA7WH79IyGtv/bKD/fzOpcPNFUW8hBodD3DzgDhvSUvaV771+ZWF8qfdOwrAo
fgGclfMc1777o2lL1MzbAJcX//4JXmreSRe2pt3WbuCLsmmW+AYbXtOhddjq3fMHnK2KTIN4wAMF
NPuRwt2QjuJuyUYQqpZ7r7/gsgl/+nkF2SAvCwBTS6eq/iSgAbjHxTOgDX7NO4EmthEI0TAWuabM
1FcQcK5gnwEXF/qFGCwAnvUfdK6B415M5EDsagaqAR4oQF1l42ur8UWE9JeMxJ0o28qmDNWCTzwU
EM6dmhISuHsFQRS/QYGrktla4grjS6sS+s2iBKHz3OW4bgTtWhZQwyxIhW3S6hu8URQCBweJ82yW
mKVhgIWYBs81qAvTCthznHZPnC20/zCHhlvPAXYCdCt4IBIA8HMlAgtgwiLyRLSvFTlEl0j52/A6
ARrPBiIcUNRzGgJLku1RMZsM6JO9vdJ4Lt/elZPqf6NicFF4JE26+G5FmQQILOBFN18SFHbFnlPV
ieWka2LdLzVq+0UxUYif0l96XZfBL4/GTqDZCHdbTQN0QKnX5CveuPUd7oaVX56LL7P3SZYeaNk1
QSDSPAaLpDnaKAE7ztbjNr0yDV4Ig4s3+9MfmOphg2plTHKz4c7vGmVjY/gDN0cIiYpUf5QuVgPX
hCfe8qdWqHf3HDcnwOnStfjKuBwH70yhGm0gk4KqiQEa55WiYifAIaHEswkfRWaHOMr4BkYAShCD
k1/rzvLJCxh2NMO65yjaNfneQTLKUQPzSpJ4Yf25eKM8/Sqg9FXBinNW3hAQb4mJmhOKcl+j3b7U
uhObOIj0Fyb3jkLJAbLjKvrclUA++Q2ME26gEnZsbcs9L8Vm3toNdT1ZO0DT5tm+s3JWDeRYdISm
BTL49JrMcJcooLPJvXrPnGimeo5RboPWTUHYcaGozgTdtvbru4tMTjqURM8CnzUwpAJw284HLgXz
m/DMCeUGfJMQz2Z7PkR1e57SrjzOMdvP/z4yl7D5S0L/Uwj4JBNBdlrtO/xI8iWIf+EkKOczM1J3
uUGhv+df4IQsCsnBgZHFklME7nvoJpsMV9jS74R8KY55GlSQ+VKgQvFW00OadA3Ksj3hfcYz3TAn
ZCOD6thkb2xeTi17U7dKvEWdgmfXnYjFSlrAwIiafOhhGXIcYzIdQcyU1enfP+4LGYE5QQtKwSQD
vMpkIImuN9KU5taCYewZVE7I4n40mIG2NmfUKeDhny5h0r6LQcGq/OYNdaJWRvU8lDNZsWezOxxS
4q9bCg6619hcrC+eTpu4CSTk0cWcgQ8F/MpkCVgP4P36te4ELdUNI0WTzBj54OtIsAHr0rXw+6wo
33rWdQlQA6po+f92nRGUwMQz9+26G61xUlg87cxZCl37ASocOOr4D4wTrTKcddFOaH1t0uoI2x6L
Sgzyav3y37MZdaK1AiihD0mI1hn5NdSsPZd16XnZ5BZXylW1SV2icdjnqLwFRhZHI7767Q0ujyhP
5+NqqCjaDQDb2BTLYY1mApxgYfyWKOrEqqo06Xoa2qybd1giVPUv2+yR32QnTpxO+2h0Xy02UxLW
RpzFXwPUn3o27sRpWMQj3arAZAJCUeg06+/wIJs8G3fCFHqLFW4P1mYNREcH3qA6HAUlwrN1J04F
bYAxD1J0PbXR2wnPI/eFKFu/JyrixCksOEjH0HK+R2OPF9Mu4fEpMEEy+c0Z4oQqGdZUWV2iHpAp
SM8CquNcL8T89EqRf+ron+w8orogQMkqrKzF1N6gVg7SZNlsmV/r5Hk42bHQtNxim5uUfosa8jAx
+uDXtBup09ZAvxyYvK6CO6THrxsRnvdrxInTtK6VAPjZ5M1SQWdaxY+9BGvPq+N/Kt6fjHgnp2BM
E2vzoDZgMjTiVpAh9JvskROneBZe9LQmQda16z/1Fn0msYKX9P99jL7/z270aaXxC9uYyInSpF4A
gEUpVo5mJ4Oq9qnih22ipV/qdSv9ISKE5A3CoxwmPuEXZpAHYNq4R347jT+0hSfDboeWhG3R2xwq
CyDtV/ED5IzCc9idIC2gVhRzPYKxuqF6Tin450Hr/8rL60sDT58HESA3rNaBMnkP4v/bZCqjt8BW
6c9+n9UJUWKIGc1YYzpWQJ4ByvsFTiaen9SJ0Z31aVNU0uZjDLguRLNf2yG59+u3E6MwDV2XGpVR
edBMj8zCb4tNb72avpSyPN0E9EtRlAYkvgz+gMExaIrben/VDeeFrxk6EYqaWi32gAQZjJnfqU18
TVCt7ZdaQidEgwr79BEEwBxq8Yf+QvpVlV8mD51VlOlloysuvbN+h5ZoIahA8VtBQ2cF1VsMlxKN
sx1X5W3Sr/DrKfxePkMnLOvWrJW16LRWH/cZLDbxyW+GOCHZwrsUsC18RFbJH+OaPiQ798tToROP
dpjlui3c5NvURI/7ZkgO+tJ08uu4E5Fw/QSSu05NPgV43SedvIJjyhe/tp2IlG09xWC4BCC6YXcb
hPw7S1H97tM4nOSfxyQmNuR4IZbkquYrpMMMnjWpmL0Ch6VOUCbTLAyL5yAb+IexPyV4X/brthOR
FUya2FBtJrcJ9BULmFiw0+CPfo07MblAPLJtMEkBvlNfLcC5n1DvarxmCpwYnw/4aG0I9hgaT9r4
nlr9s4ZpkeeoOHEJdMcWDuBAZKOi9zHaXu3s27YTmtFSC0rXCNfGhIa3NimbG2DquOeoONFZTSiF
wX4WEyWGHBLE9o8tr7w2WHB+ez7isDlii0wR+SvdTHMMWQH3JoIdUO2VWljqBKheFIN9JGKoZPo7
zF8+4/Hho9dUdMVaM6o1R04xLig7jE/wgKgPsJsQXvsIXAg9H5mxgq5WgXifl6gWs314s86grvj1
3InQRgmgQSo65YmkbyEA5xloC8RvxBMnQi8Icp7a2eShbh8YUH7NWHltUsAIc8YkDroNeMEpB0Kd
HFFhCWwKa377DYoToBteFCZgciYoAPjXclpvahF/8Gvaic91NIVMwBrMtwhK5bYXA5wwGj/pAgqR
n49KH8MEYIa+JscT0n7q9h7+QCjL8+u6E6BwJQV2OFrGvIc+Ba7rdgzeBDNwhX7NO+G5BBRZEbr2
nMzbPxN2cOuU/PBq2lUgGSw8leb9lEtevl+1vg6V8puHrvgIJbMSNjxszPf54gO2lOQUtN1Pv347
wVmjBmMaVznloPMfJUg4Knlt23mJk/9+ckGp+POZsgS4DwZSZswrEIntYRS8eTtwvR6Whtjt6Nd/
J0hjCeKR7OMxb2v6DRyMz4GWj35NOyG6QoTYcoHSHdRtTVfzBOP2aGZ+T3XATz8fHeD94D1JCTrO
os9qBjOBBfqTX8+dGK2AfJdjWE15TGq2ZDu1G+qmkhb2sX4/4MQpq8oysQnqmPY1eKgVeawHv7M4
E06MtnU84MCMpostfTAhLD8p93qGAl7g+ZC3yVYoFKnAILdQBEaFxDxE5VJ7iW/BUnjeOhFzGM/A
1OZFuKPuZRzAr/VUdDHuhCkQOYFZAVHPuxksonAW52EBFsnra7piJQNQrWUphhzpESQh8qaNV78Y
cmVK6VK2QJSWI7xvUVwo9u1NOqKS06/fToCmmCXhSuSYR/18T6PhdgyNZ7+d6ASMzsCTLhjyiSef
YdPz0MrB6xDHuBOcxcpQd6abMecXeGsKXfhh2FTilw+5E5mGNkPQ9OmAd5tqOI5EPtgg9duCuiJh
8MyqrYthBljWFAy9BRcVmQ0D7jcwrhQJGHfIxpoNcZNu6phYzt+jin73+6KuFGkGXLiAGA5OhulI
jtHE7rCS+r2eM1eGZIMu6eO1x3TpwcyVyLWo9oJ/QgpSuNdcv1BXnt6YQT8LM4UVdodlWS3i2OHy
DAWsbPB7R2Cu3GiT1iajKnSeBODuHedFq9+wo4NFiV//nViNAGBlSxpomMhuQH6VHCwpFGGe/Vp3
wlWIdU3COdS5BWvxCE7EeKQ4/Xr23YlY00IbDxcJnU9MlABmg6/2XW5rV3q278TsWo98XFaMTV81
PcrjYYLYRn5rXuwup6RfVCAsxh22FVfbFALj1vbVlde4u3qjmc50QzmkzpsiRrE4nKGuGFiZ0m9g
XMERRZ6MCeo6cxjVDtNZWBRXwoCuB//Sr//OsorHONl3esbI02m5HsfkYzW0fnfzzJUcCakIRMCA
WgpmPsDE5WGR5oNfv51db1lsC23bcshFl36DNzlIByA5eQ6KE6oDrsyTwCqd07FJvgk8KlxZqWbP
KeOEqgmDddtp3OeI1PTAIX05BKAdZX4DQ56nSfgc440eSP48njd4FUb6RnavqZj+bEH/cqBxZUZD
vUJel5AelFJZwkRIdbC+Bgt8BQdYpaW8UnpbPlg1tdeosg54bqpqiB9R4iaGe9z/TeOHFGacV6hU
BzmnkR2DmV9b4zK+XIcEhhE7kJvjx2UgcHGDQ18nv/dVFQxHjo0lOUUx7tozoe1qT22EWzJgUYlZ
r+0QJE1OxFqhrr5v4EUehbhN+AK0fbPB97WZBLB2K9pc2trs53JIKxi+tbDoPCtCVgBZZ0W7b6uA
hca9YXD0/jHB9HvIk52kcz6Cg44Ca7PHWRMCOHrsBAGwl2+itFdlBFzgLU86lGqFw04+kAR10jPh
47Wup3HPwz5NtvOi2pmdZtRcx9kMJwpcYbfVDI/LVsO5J5xT+K4l4CuJg+rBJ3wDq8UmvW5pZFgO
W5tyOcbwXLje90Ddjd0MM1MWzrCtagAigg8s0APCbxfiql+GrjbQt6d9nuKyDeX8zW21l35VKzCS
ez49Q/xpMJLUfb71ulCnHqTiHGCw2nP3x5xsr1ZmYWtK+5zDpg9XVsGBlDT1ywuuTI2yAiCjAZgO
0Dh+FUzCnr32HPTk+bjAZRKweYJ+x7bIATq4KeLI72aTOik+niGrAbpF5+DWrYA0ABKdtlHvOSbO
tmwMQXOSeHHMS9I0oB4Ov3kz+u1YqZPkG9Tmzp0I+9xuVt+h/Ku+6qlRfnmYOlm+4nVoO/hC5vCH
ZbcMm2/UFVjz1SsPuwI14J3medZznwMcaT+NybDjJaKD8Zlf8848j7o6AjQOH5WXKgYOauosnGeC
WA4nrx9wpV5GDUsRVKbP8VD1e9HsJg4mv5ILRpzJru0CBsgm+rwKU+jIzCTW9kjThvz267sz4+d4
gKeVJTpvwblNDqIHVumI2w5AZv1+wJn0i+7aKFzhPU1DwEqsABAVdtieGwRX7wWwStHsJZZwvNGM
RyjKLm6gS5j79d2Z9kuI6uW47npUorbtDQcLysAJcuR++n7mqr2mpgOmuu+RyTorbqqOht9wpt38
roIJeZ4nxaqGXU3Yr+Iqa4WnLTyHBdglnpPeWZ0IbW1aXxJ8U4MlBmwUnJWMUp6zxo3ZMVrtinNy
DnNg+quC2vzXrqzyU34Cafp8aGICIFrVSJ3HXMzBNbh00TEsliV+5e3whfJ+5gq/UA9aFLxNuhyw
ITo+alnP/bEQHbDuy9QHj6gIA9QeTkwn7OJkeixTHEbPVRDHvd/Xd/VhKKTloW2w/1w24NaOgWoA
oFBVp1u/Y7QrEOMh3XFmuWSmwkTFG1UDqJUDTgmHQa/ocyVie2hHlKQSGGgBZwUo4tLA1q2RbPbc
o/wxjnmiQePTrsYO/tX5Zglky7v9DPX+T7/OOycXkLw3k9q9y/XYTUcY//7ewSf1i47Iiexy2KNp
kkLl2NueAUe9IWTyuwL4U+P4ZExUEIQXB1WUurAZtr8BqLgoJHnvNyhOVJuqBWsXtp55YcckAxwN
ROm49lwqXZ3YImrYj+GL5vW4Bj9Us9CfY4DlxqvvrlBsahgMs7pI5diu3IkZjs1D6aUoZK5OrFzx
zsjHHhzVlcA66mIWW9b94reIuVKxRXJwYSVV8KFLeiA3k2S4qYSFRZ3fwDg7T5auPYiuocpF3DXH
IU2uJIs2v5nuSsZG3ZVlkdZdnsJA4HYaFUw3TTM//HvXL138yxk9dII0XeQ2L7CryNudDdg1h1OZ
Zm0Y9X3GcTDqvPZY1NXuAMhRFNqMbb6P4gcO6m+VqD7/+19w2Yn8919AU2eHAl4angZRjoUKwb6A
Q8dk518LHfzYADR1BqjGXrmriq7NU50UuN2ZkmvF4Wbg13knjfWkses+ovOgyuOMHxF9APPBLx1Q
V7+Twi99iydcdkSLibZTV+PxF6buXTN7HRbBAHi+iUjmpdDYRrR5VMFmJSnD8L5H8ZRXrsQF9PPW
N17jRL4MwamMyrW/acIovCNEx9ar98wVNiYbLxJOQbULLRwMDphFzSXfh2nvt0EMnQ2iCuppmGEh
CrUx+WBN+B4mQV4Th4XOyANJYsD0Rd9x5RvDogLvS7uNOq+cQ11tY4cMGUhIVTMwVYv3MxjdH7oq
9iuxA+rt+Xdta4CGQzK1l41B8qAVjXNTx4nXoNPUOc5pXHmFhboELCiz4D0nD+Ab1p4D4xzlLADt
8GasW8hWwBU7oiJ2+Lq3INK+0v6fy4q/ZDNXWMYZJSvnFtmMw5n63RBFnb2q5TyMZxzELDmDpcen
0xC3AP4GG04Ft4DYD+oriSg7W052GLkGWwzrncICf7AFUgJuDFeXo4K/VX3cy6rYf/TFVttzp7Hm
Hm3crCDDM/Zm1o252WqYn9LCLmgCkIrqEKqa7Y9VhPqWB3kBSTx2MDKGWZkVbMf/Oi7HKoTy867R
VbCf8P+e6reUgBv/0ytJuqAw6BphgIOC5KwsouZuTmV6S2DF4bfAUlcS1wcy7nE7KnOyhr84GR7S
qLz367mzMcBZc1MBX2ROgZU9tIRdk356jXRxmXN/myrOwmdtoMp9WmU+aMA0rkd4Fy2nFNab4wnW
xWl5zVPeVl/9/hJnGYyA9edsjmUO33aeMbm051235Ue/1snzjFBthcUZkcp87uFgHBT7Z9OQ18bp
Mth/GycnC0dhWVs5Wpnz1tYfoKpm75KqXL+vTRS8cjn40k842TgsUlESWANk00olh531MA6gcMP6
YL+uF1S0vXKofuGTu6o5yBNKGIq2ZVbWRsqzjdcI6rCgzWq1J+QIRbffrRIMvZ5/kbLC3UkBQ+ec
dySA0I1/RiLy3FMJJ0UHAI7gIqCTeYTnOPgIng2N3v/7THrhS7giOkGh5dxRg3uS5SDMddpO8blP
Urz783JuQy91wR+7l6fqghht87oWcM64sP1Q615+SQfhV9pKhRPY05YOdb2NTS5gwXKG5jo5FFXk
d1iBi/TzLwubehzFbVTlNRxF4cy8qVOS1l7nOCqcQA65jtpWtAXIxPVNWMBVseeeY+6E8UbDduoN
mt53lhXpcFY18TofUldDt4FUVk+pLACCJm9EHLwZuN8tHnU1dJAVXkC4cAnTzTLcNLAJyYOYfvj3
yX6ZEH/JbK6ErohFBdJ/gMkelVOm9cgOW9qys1/rTpSGqRyLOAzqXNSTfgPV6+eh3PzgsNTV0JVc
lMFMbJ2Dd96ebWq6q3Bo/aSo1JXRBduKd0M11jl8u4aThtdCIMYp8xsXJzzXJoTVGe1TmFqyeoVL
wfJRj1L6XSpS7sRn1admaFmXwkFtuJNtnzdj77eIu1K6rVrXUpXYSLUGTkqd7cKLu8grmfelyejE
5wx1/o4KPwTRNMMYNx2PmoMo7DfmzgK7A9IzzTC4R9WS2o5dqfvhAH+R1E+QBiD186SYwt6OCRmn
KLTqd3JI2mJ806+y9quDpK6azsLHEdYAND2pBWYC8gEqgFdGxvH4/j+cWepq6RgY7oBTlVUebQGd
34S1ilFgVAK2+QhSUp/XcQojITHMsAzluF1bjgOMFmYgLDXfzoNNwyGDJV9JvisRkzkvEloLrxt4
yi6r9JOr1DY1dKdJPGW1WMdzXBhgfgPp965GXcIPXQjdW2mmjC6qgsrCPKKkcn1lXF+Yzi7gxy4D
MDlim7JNRPtBhhK2P9IzPzHyfFxiaXlAh3nKdnjMwoQZrs9j5Vc/RF3ZTbBrNRTwoMlKKOZP6VJV
x5CgfMsrEl3JxA7pc1HPSKZCkx+Toh9URfxKKqmrmKgUTuy9ZrAKDUe4wmpSZEUB6YxXz11J6BoM
ESAw5nKdBDOR65qGic2qSU7dye8HnNne1bXhSVSJ0zpWHKvl1sCPpop5RH/6/YCz8oxG2n0utM1s
D98ilbDlpFPm9ewBZ/jncxLnh5hqqmwWXSB0SwwzbMWEl9gfFhjPG9diZlNh0PhswfZuJzbAqYL4
CU5p7Cw9rLJAM9jOZqSJNMxJowbWoO0Pv0F3lp5ewnAxpIXJZlKpQxIEqCZcWei3yXIVoSWEz7AV
pibrIfOC19ZY3rWCmk9efXcFoWzRmkZ8MFmQ4gmOyb3M6i32GxgXQFePS9RDFWAyEE3JfadW+YOH
u/Dbk7tq0D2ulsFYpMiu4+0RZHPgiVjxGoLnhWOiS/lqIzkQ2dPkzIs2nu8rq2p13jhpxzMbNVZB
r/F3xVTFTAsWNUhoMUmC00zi8tit1k9MRV3el64KYQxH62XZ1acESio47m7/+HXdSWaywReAnnHM
9Kq3Y62G5gSHYr9c44qpUs1gRR/HYzZLO59VlZADCMO7X7JxxVSbwnFjH5cxg99Me44m+XGPmtjz
kzqZDGbIbO9x15PppBJH2GzBs7oe/WT/eNV/nic7sQkjkkJngYIJXbPr7kD15kduQgX089YLBiut
qOE6q81QHfdYtUfYSPpRBamrAbPRhivnsUzOTdPtj3uo108NPFz9Vm9XBVbQZYksxMpZPEaoR7nk
eE2i1+4IX9jtEeesC4cbXFfDK/vMAlydz8HPvu0evQKJXO7ynuyBZUSiApYWsACcKKxoYalqP5lq
nb74Ne/EadTCUGwPx/Qcw18KGtZm5dUtj9ou8YtVF/elp8Ri46TTczpFhyYlN23oufi54i+AuGCr
TtC0YtgKX/QQnZ8gkbrKLxgo1EUlhvS8X9BHconYkVXJcvAbdCdMm7CFV97WsxMoXFfdqO9D7kcT
pC7pK4whKqJKsROH/KHpglvW1Q9evf4vyRcwQtVIO3Yi3KooZ7pF3XW1KPvRr33nzrjT0dC0thdn
1kcrGOdsYjeXUr3XeIKXYPzLdZer56oDqVmyFPysYAR7ZYp5VneTCMsyQ52qKK5LtS/VW7MX/w+H
6z+ng7/9qBO+ME4rurkZWpwU1qVbj1Fbt+RiGoqoa89Vscr2MPQKDjKHjg5Y29cGHojium81r9QZ
B+tGwkh0lzNsOIstKL5TukB214WQtMoDbbZ9WQ448OjhVvIo0W/nqVgifr0GTAzyMO5wWKsPIU1r
Wh5GIzQORT3HpztcbCfL73qslI0OTIpaXdNdAvd82nCgF+VpG+AiepQbbdYPQMgtc32IJVx3YGi/
wU3tYg5uAw4zuQ3sdphFa8nBple4szTqgLqC1qKDk+i7j5oo7B0b0SS/lVb45xHulPOJQ+4LXzqM
kDzO80LqfN/sykecl+nUfe9xaSvsYR2jMIIHXMLL6mtXM5n+VKWF9w4KOfd+VAfQvprty0Wkd6Xh
Ab4eOkCjpuOy1FMkTwKFk0W248mGZAEp1ulYJJhp6XHmyxarE5n3OITJ68zTcx3bXaEubOi3K2D8
YYbI9czfNqGtk1NY0wWO1IIP2IUlKjnBCbWrD+tQ8qGDfrPpq/JkUhyxxBE3JCuMm804dKM4JIQL
1I3MdV4wgW0jcglX9gZfq4fL65hgZ3dIo6BVJ3jakW+DUfy0bPsqfsLBd6NnPfaxvIMndMI/VbA9
FnfUwOj0di+qxJandkeNCjuni41ARNg5nPveokIjwffSda3RuTLc09KeQ1CNsRtTYb/Lq43Tdfkx
JKruy2M/4zL4WqACKX2MVrFO27HtLk6zZRJcMJCtbbslQBXLDtEWCDrCzjbb8C37/prEuEgj11x2
SXWQXKZnLqvu2PMV9pI4wG7BNF92lvP0JrSTzJYROeqO96VtHteVlF2C6dATe25oDJe/vqwYASW2
2lp4HE5V8jUxtOvfpOuOS6AqDu06HhZtcJl/SJNYEOygjKGUHtOY0uYhksnIzwCsyPVNR5YIt9qh
AVttxzOzmUvUboXbxA2UnByQtbC1P0gboGZmnAXTHwR8bJNTVUxx8wP3IEmLoIEt/Xyamrif7qQN
S/4Iedagzs0mUCaU9mEf3+xxQORtVC1y/6fu2t6iYmYMenY3IGirrNMVLIm1iprhcxWoJITvJZMl
jw9CsVTfhcbI6AdriiLZDkWZqjJflnmOb8KxZv2XZuFbDL/rKUQ1ernQKAXaOebtz8IspSwPcpDJ
j5jyQX9GdfleHfG6hLULpRL99haqvinBf9wH7GffjPN+rYjetke5h1F01BUi6WfDMM2vSkn2O5OG
5TkkQ9LAFtsKWK0mta7ew0N53e8X1EiQAC/R4AYkpwuJmF9Pi+m63xIvN9Wbhg90y/u+aYt8IGk0
vrFDKsixYZSRrwknLP0nWmRxhxLy4AbPSPtPVIeoQ7PE5akEICg4rTV8tG9g8gAvVsCD6Be4O7L0
pFtUOj6IrWq7u6gs4Mq99LXdsmComvUq3caQ54KvMvwc8kLCenhIS33UmwnARGzCdEIdioKt9828
T/H4dgp3E15TzXX7Ec4aRf/OxqmozmEle3EyazMjdy5xMlZn6Kej8e2Qzvwn7NoxsQvc0izvqjUc
kUqqfl0yHvdmLE8hXqvmN7IB4PhclFajQiUQc/lYJVPKrpXWmh9MEYz8R1XBO/5YdjA3h+FlFxUh
zIEYXa+nVk3mZBYSBiczdSQ6dO2+6K/UpOjBKQ7LCDjDFb2og3IaDw2MbLusuyB5DgDa7fJuWFCY
lsV6XL6RcFs4HM9KeDweYQXB32K7VP4qEMLi2LQVUUeuYPL8eRvgzwjAkVJAnh2o3Pf6ejGokn3c
4E83FodqMGJFvt/10veHxmCZXg648Z6nn3C6pvEneGSMWBAkaDXp+xatXD6kNnbMYOKIl86sW4iK
D6j97OK8TaNUXry1absdysgk+5tlnUrcYK6wfkqvwmLDHhGVbFV1PcH4LDjsY10HH3gsR3KqGLfB
aQrnKD2Jbd+bT2O40+ZqNvuS5lb1QXEaFlJstxTOc/dhNDX1B9wik00e6rY16RnU+NLcpBInmLsN
txDJmcka650piniAzptV660qw0Ye+32MzJHpUcDml49TUS+ontun6L0JpUIxRseMua/XUJCrHk/G
zV0P0l09HOaNweEGXPHDsIxpdB1RuAa/i6ch6L6Tek1aWNHSCXMMtrtt9Q9tkx0zQQHZNmV9mdTz
GX/Z2mSxkmz6CP/dqriZyrqh1yii5e1bOxKYYmVIRy0/wcuIFr92oJLBNJ+qJr6a+rosoW1GERPm
SAKO0k3VmE1f6UZRaIYJNMRhNmm4Hh5ms3XkA34z+TRHlVm/tYDGoyY9JVXPjgPwizA6R34qjmuh
1w8N4YZeJalGrUvcdRCrqnlMguOmrYHL29jDAlYHs4iOeFBIqnt0N47frctW1ldBRxhejupCBvZR
qb3vbiDdrXbsirp9/YlVY+okGKlhGD1cXmpoeIRftNjf7mHK1IRMvG/FddLg0wM0y+EIdrsgIQ/v
4H4xjdehqVJztRqexpeVe63ABCgxjNN0MCmiPASvrtxteRxquAU/0HRt0wOcxhJ+Fkwhvx0kXZrx
XWiiZPi+j5OGHW1r5jW+3hgN1zuG2V99aaYVHjH4I2lfvJO4Gl/eJxKDeLOTZlxPHbWxucL6H+gS
g0vUnC27EEuJzZPpd3zMsZzP8yID9VFEm1H3M8ZsvhkaKPDeNXNd1UfWVP30ZdWCxF8VEVuiDiCE
hZ3GSNG2/KcDMzW8B7Wepd97kFfktwEu9zC1TwFEhFNvQxpxpeBCvGH/VoUJ7w9DYDcshe2K5QO7
PSBjeRDP4jQB0tDDy12K4H84+7ImO3Us3b9ScZ6bukJCQuroqgdgjzmPtvOFsJ1pZhBIIMSvv992
1+0+5ajhxomqF5/M3JmbDUtrrW/6Bld5H6UEh3p92uaxeY5n3N+7hrhWpNW6AX9BdHv0iVPwIlLm
ZV4jlHeNYoQUDvF8oG3MxZKwlXTjrS7HEpLjEPade63qdrhhnXZBmwgosL7Ww2jXPQ+raLkLezLB
fxc4q3qOZO/K/dIiKed+pCX7LA1SXjIT5VgFSKRti1vf6zzek6l29A74E+sf2yY221VY9+OAghnh
2QAtHkQ1eWhgojrd5F2r9JrKKCruPZgvQbqKqlsezeZGCKKhe6UuhY1h3qSxCit91xjsmJBhX7Tj
jnnoats9JGrhTuas77OJ5BSfRFW24U0060uSqzCX5keC7VsWqZILpxnikkk4Iw999Z9q2cI1Kdk6
CP+eNcRt7LVAAPX11M/ouNKyqJEPX8MVzqeo7ksSO8HsJzrD9uBYCKdx3scrQZvOIODVNvEsCuyp
wp9AHuaht3FKuUAQtS/n/tCseNS/cDK5ZU/jpg2RTDLB8iyMKoZg7RZMzMSwcNsrHEbOJhPPa3M7
gzqlkH0turi9bkzu76S/BKBu08aujJQN2Ukk2CAWvkPLkSGiGmXftUtQnBrRc/uMuOhweeynOUyx
lh7pm29zt6S5K6Mj2jUEWTZQ0QxA3ZJprctjaTWMNSLoqnHYsnTbrNLJgDAkkdmJ0GOBfuCT62J2
VcBKqUuEqkeTliEVBTxbNU0GpEWLs3SFf4+g/qlvKB6d7rDVZlM3Y0Cne+Jg8YoRiNnrQki6oXcK
o+l+CTSY5HaNUwEZ+Q1W6BBr67hjcCOHkvfGT5K+DC4odg2tRZN03WqvlqZVd4WDg37W4DZO+Tq7
lJZ5dYyiSF3PovDnIlzbN18s9ZNi7ZRWRDy0fOpeeK16lRREG9BO5rZpxmQllXImKdDt+r1HvJs/
ioUWryJc9dnWXqoMt7NIu23e1n0/1fzsQV+MXlwg46eidWAtZNT2cXDMu3hxbZLjzpWQyfuSvFc2
9/aFcyF8slQdUrJTES7OZ9XFD+DUIhodtilyCr1Gsu44GmTZrxUb6qwQSxiclzCCoBnyaUfOUxnm
6tYEq7H7BTp/8rqJlopUIWvcXs2R5sUbOtdu3HFLA3rUla6i63pdWuSvFv3SJi7Uk3xlc6vJ3chm
pnewafA9LAmMKE9DsKj2S1AiS7hOua94lRFTlzaZeYVWVNk5rtKpRY/ikpwFjLWJ536uvq+Ss/F6
WYdl+4ZQKod2qLSS4+5uL+HuOqkhGKp3cNHJ6WGSbVU/rCFm/93QR6zb2xh1J8NEU8Sn8UK/241x
R9kdRDU1vwJ/loVZqFauTiFkU+uPCvqA7m42VmqSelUs5dmMhhGRwFBEApHaatr6B4zGMcUUDMrm
dmVMa1AXyj524Y3u8Eg+NRhW3ZeGN+oUIW8bA3Ln4i+hYU3w1gHTwpi8DhwphVhClynuDjRLST4v
qO5mmtds6YpJfhLQ9NtX6VDbPxszKlpnPB4DnFd5z4PlSbitXoskoDRmibX51KUqZy29NZtc/Y8I
cv/2faqgZtvJGlF/j74tVwXDAT5M98h45s266xe4ux5UFdDhXuApQ0UkbBolylO5xlgWlj3k+8ea
kdIdWVM2pMuibUILkLRCiAI28APmD3R89Zj6RV96EcS4WPdQ22kq3EE1RTO9tiYYlv1QB1adjFEz
xye2KTdlI23X5a1RHFokUTbKvFnXjMteF6QLUtXM4VU1FrlIR2CP9trXdVTgI4kriAENtuzppJcR
TekoYCfzOm9wyYURwJhfDwUdDy5f5ePIqLfoDvi26TvfIkF+Qp5mAlFYMTPki8l62HsnuU8LRJDO
p40ZDGilmuPEWDcEOrGzdeYhDl1c/lgQbSJ3W0NImQl3OVeTwiBj4pijzb6uYM2Fu46FHTvnNTJN
r3Thh09K4iJkzNoobBNSAWV+Ne1WB+hSPQkO64b7+oA+IIzPFkdA/dU5Vh0wAoTqywCL87hMuSpI
9agXXpawhA47Uc0JbjLOUomq6jHNBRDObXEZVreydmRLJzzwL03Iu12bV6LHo5bP54Fgg3GDfQXj
97JfRXN2y6S+YRPzGa2HpQKRKgIU8AEZMfSxp0X+Bj+LusqKDkWxqqfmxlqCzmyDwYg7tbEsU715
BI6AQU+OVTyx9ma0zLQ3Uz6bq1nrof6KzGb7EYyNMdk6B/gYozV+beboAu40Emf7GrlXgV7CZsU2
olcHr8muSevibg+xshJJrV2B3gC0hQVhd3LFvhaV0GC/Y+tbB0I/IhLlZdMD4ff02qAZSygHA/2E
Vboy12yUY3DPYpD4QAqK+2I5LaIobIsPZfbEQNGd19VuJUzW8a6WonooRmTD70IIBcYf60KbJQ1K
bK7eYHeABNmJSxPt+pJ6iluzok9ThXnk4PvaJLRGAdXJMk9IsSvoXH6XvDP0lbm5XFLfmRDTThy1
y5rUi2yDL1UV5t/kpTU5yhUq8xcv9IdtWhuh3VVjiGa2i5r5qJAJIlMlpu5j4HhkE4nIjhSxICTa
tSqSP5d/DdtwEbzcwd8yjzDKIFR9v9LYxZ91ESjojyuVYzMYqA7OSEbDiiNDU9K5MxfD8L1tVxai
zkVl3b/CqU3VKZ1Kx461jfw7Rudiu5pamn90Zbspjkhuv9DrrnTR+BLkRPCPEJEZ/B2jZYnNSF3w
azVMDWoHKX1Ki3B095PKYw2pEbClqBAFua8CIbDNRutBrriDoeheLZOg2Wo3wnaLWMyStN28PsET
OYw+6UktD0EQmU8yj8MXwO12Oww59BbHYMBgvLbduuxEJGHou9WL/oRr3lz1YQNam6iRiQ2Pk2g4
DaVSY8p137lEB3nzGUrdNRk5dDJaR05cTasO7mPh1huhtlLuhxwWI7uW+/UwIlbiEOqWnCLkGKPm
9cy8lqrg/k4XA9TDywK/n4SPc26f3AyL1zd4cGA4M95F5WeshlmciMXjOlBX1ygLioVsQMcRQ38s
iX0pV4EmkWGVUBToMmoewB423oJsAg2e77gssDdxSDxHTkk8bdWBaqJfYb9eN49UDhCBr0hgeKzw
hySsWkI9pyjb3rpkwm6M3emmjKOUafw5L8OQu2Ffj3ldpjSKtft24bqehr7tuqs1jrcWv6MJzGMT
Rq69Y0Xs0LD5iu2l1MFwBIUydg9YRfc7lIm+30+c1yaj5dKGoMshuXU3OIIiAh+YMz4LrCNyzQeN
cduBtLx4bx9NUNZL2vM5bM9BsHTbAfZj23vAEZuUtIiGvCq2YcXjk0tcjsaRXaOiOR1H685sCNFw
llV/5XXJH8FeHqEQgL8j9hwwamBRnH8ONtDJ9xIKGf+CPdO64CAyJHy3cipojAycZsN6wLSz7k89
EIrqrdxG06X4pCB4l02JzhwVs126tBxzDf9ymBepG1ikyThVTuj5tA7RiIB65GYjuzRfhKySgMP2
cO8UuzyEQb0UBdIVR0xMKD5NVm9GuZOFKEMldFhti8cYeNfHjLMzP+nJkiJb4KhNwMTsaBS+DhE6
tGxxairTOFoEtD5W+Oa1EnB6yQj85qvPLRYaUdL1c1m+kHVD9SiCQIRnEYcdTztFW5oN2IYt6dAv
WG0l0OWtRVZDx0XuIj1O8gGBINWSeLhA693scz4knm4ROhilQ/s9mJCqkHBIPdQDsmyW+FB67eLv
Am/KfTJoUMU1N2Ebp1EbN/S+LRyBabLGUFBWpusePQT8zZ7WhnQ+4RDbL1hglv1WYFC3WDngpl7R
FCLXPB8RRq1MflMOpNpOYUTW/kZp7GkToZmDX7oupw/CWVXe0i3vQQXJSdMfZ7kE9B4StVjgmZrY
5oD/9F7vkd/opj3IRbpLgarw+VvvOhMgIHGz8hS0WKd8Jm13+YQEBp8snJSuofvDANbdztgfNin0
FdbMCTyHQnpFBOUYLrkN+mMFnsXyzVGvTJYLkduDQ7122cS1bnYtY3LMKBJpbJOMU+fLPabBVl3l
EezXQL5sL/FgSEsbsrqs1HrOLYllCp1IoXgGJwaCB6rKO+DZgEKH4iyWlW3oWayOjlgSDEDrR/R2
CfawYZNAm7fV2YjboN1H6xyOH3HFmzbA7BBGliGJHiYmP3TTtdBzNUDILA7TDn1ilAbtpA6CaurX
UxNKJl/hGd3Za4fRftV441VUR+hBVjbc8bhq108B3o0KkjK0bJj3FzdrDKSL3Jbodr5M0Fd5MDQr
mi/wZWEw5fOiuPNdaDCsTDMTeMCjBjurOAXWwjGtEtOp/nvlMV2DTuXjjnxMdglGNAMxx8A0WMht
F6TVDNPZqGGWdxzFo0CrKOvtvSmBRrzVtRuafVREfeBwdTXrEZYspuohQruPZ5mqOOJ7jdZo/Ch1
xJ1MbKjg1uziaJbPIfZzFeJfsP+339QUzc2rDuYhuB8KAD4Py2VQhWOBly1N42WErzFkc3pqT2UH
3As3SaTZfoox+IgdchTn8Qqi1IK7dAOGNGDSraa4ijPChZVXTgNJukZ3LcU12qLIPPVt3UznuGBu
OAUzwszfGCE5ScWlZ9vPQxfMSRtTF1wPBAZPD8Fs5go1Djb0qUJn3O/83MnptjIWQpeOk3h53lqw
yFJJDECeirU9LGamIrDfpTA6f2bOoPj3yDeol+0cbMjXRssKX8P25HTBPPopZFCnYbza+eiHXrHj
hC27O7SN2Mgrtoqcn6sGSGCqSQcCwA7STTLJDPfmht3WZaMW7MeJ0jlloquDBM/cjdDGR8AaOewx
9iQEtXrcV0EIvEf0gHh80iJiTSZ+XDXPpjLm0dGus9qOOloD0sPSjbpZYadXICttmFVYX/NwMuaV
G7iqf8RFNHfXaGyreN/yclZPzgGaydpC1gXUiSCn3ld934qrvGj75slJXJgrT2VjzmRGpM7Ngr+V
InLcb/y+nuOuOK/1pJoXDHpVvqRkRrc8ZvUgO6ytI3i0VSSd8TDrIIX3h/A6Aw4YS7VvQA2+WBjH
X+BgSEyYKgUDzG7XAQoy8wkN2IQLa+NaT/c4p3ssnkHGAZSG3k35J4bLDnGV4mWzvQA9ydf9gid5
r7YtvsYQLYIrGuQKjZ0gcK+jFxhP0gOphdCHpo5Hfr21A0SuIfWD/eKqWcG0oplhHbK3hV59mYRO
8BgYJwXpioxGLqnAYsO8dQss6+8H2C4Yur9YvYbYaawc6ety2tRSp6pzrsl8N10S5awRt3zKo/4U
QVzujmOvZ5YVi9f9NTXwqcGKlABvHfwUz/sKS/wwCUwYBntglLbKWlkojJ16NBodEusq9nWNEfN+
lW9FvT7CkiGy2L2X+bS9s56z4ptuBtKeCIPU8USw9R1vINCe7HMLS2r0Nj2P1uswCoz/4Ude62vv
i8BgwbdSmW4K7UiC/fIMbKUyBmS/0UY3M+mMS61HcOhpwp9QZ/NGaZOCGy+AmUfRhdG4yL0CmfS2
XZAM/EJcU5ibyW5hf44Re7ddPu04h9ZBWY/odhNH9Tes+QKW1VwG2sCsFfNManrc7d0OnXWDAxKF
9DLmu0m7OxVMC0t9EIQTHhY5TpBLaH65gkpjXYVOYuLqzsRLG0DZXcXV+3w5H9/jGUp12Bvw4jQO
yocJQb1rn9g0UYtnr+DdaBMtDYT+WDEhKCouSUUyRnkAeg0rxvyWlrF1e5RReCEubV8tH7Ze9Xo9
bHHHP03rLCIML2M9n72Pt/WTjDu93F08HNnRdHOedDC7GRN0o8VlWa7XBWcuAMx76b2Kz6aE0uAW
QEkHDwb0xhtWW2ODrRVHcGXE7VcIV0eZQFhE3W4VusHWbhrLR9AkQnREC0KZH2swG3EuImMD3o1q
kbl6jTVRIPf2BHjWcujzaRxsUkHvFyWDBI+ApcC+p/kDi6QCy1ssbIj9im3FVgWJsGhf64Sjylrs
ENsBao8EJvWYO/cr5KEIB+rXSJRfoLD285TMDiE246FbLK/q1I3wD0cfSsTKw2xiJagc2X+YycKe
N+DyAKSK2ZSAEWSSQNoxT2GUzF4Yfjq4WlxZ6JMqL7vfAuP3qi81M8rvBmqmHbYF2wxea5AHp//I
55Ws3kTtEUbd65oRUQ9zsvmS3wGw6udM5BB//zEG06/OQsJHfTf0pt0R9bmOnsXyx/jMvxoK8ZYt
gGvwuqx6lFhaVPwPSmjCX/jpAwwPVV7F8R7HJMESSS3kxqBam3+j4f0nhlWADP6eqIdVGLVgpAGZ
CPD8jeVQ2avOBQNsBM2ksXCiS41YgFiN9H41WN1iwKoDkg7Bis/pX1OoLqyif8Q2+oVYVgCiWatg
ivcD0kzbrIKO4AbkwTFFvwb4EVic/DfmF/+MTPULF3QaDW41cIr3MAQY4yfrh3zOdIE+N3M4meBO
CkeSFl3p6vt/c4X/CcnyV3eiGvwwnCaU74VEJoeF7cxuxK7537yhf/bqv7DPNBL9TFwqDuZI962Z
wlcndf7HyKfkF3oo2vSx00XO9x6xH0k5+VM1t+wPvvgvDDMbhrYfZsH32EHvAKRWSR5i8/ivb6h/
dlV+oYfm61JZriqxL0hgcKYveRKWOP3/2KtffuvvuK200QzsIFwXunXw5rUKKZPb8PSvX/yf3KG/
WhOJKeycXmvcLmWs6LvBTsmlRHiKXCFJO53oGWzsI3QlXP+heD72qyNMKQsXw0aI7xGHyj9F42Ru
6xDr1X/9hn4W13/wdP/qBxPXnmEtVET7TqoSG2jVewdwBf/78KEVrxE6b/yXPgp7cah0/Vxv1XOI
O40fc1PNJWaVotwhnfF9XRiimxMboyX777/u/3xf/7P4GO7/++8wf/0v/Pv7oDHsF6X95Z9/fR46
/P+/Lj/zP9/z9z/x18PHcPu1+zC/ftPf/Qxe92+/N/tqv/7dP3boy61/mD8m//hh5tb+fH38hZfv
/P/94p8+fr7Ks9cff/nt63tX9RmGnqn6bn/725dO73/5DZuDC9X9fyJlL7/hb1++vIW//Hasuq/f
y6/tn+6nr+8fpvwHP/zx1di//BarPxMCVCqmikaSAJj/7U/u4+dX+J9x+MoohBYoCmN1+UqP+NPy
L78x9mfKeQiqI2YBSulF62yG+eeXyJ8Z5N9SMRGC6Hb50v+7DH/3Qf3vB/f7HFz6U/HxvzdWHIGm
EqqQcNg5Uhxgv0r/kDcMgo+0Ev1RjksVG48+TQUDVqB+/I7VwASEqFSvEDfKgwhch3VDbsGwrPMT
hcvKO5m2/ghWELZI1N7NneoOUWfrt3ZqcCZtAvfcapvx+2ixBFeAz9Bl+uI2yM36iHs62AMRKzBt
VHZ6hwm9P4DDET+iTarcriQ6+p63A2g3cPIGRyCA5EbNN1UdtVcRurtsBvfmNG5wLhEVpOyA9/aV
Vncgb45HDf7jZwEv7vfmAu0lJVDBwxTk8571IRiZbY184aKK8refWMhmappxgYS2zcC+n0fKHzwl
F4O5cc4K2t4oX8k7Boh752k9HIeShNnoZ5G4MQLYMRuw5cCD3KkaUA3gQOEPOebqLdnySr8s2zB8
VGMFShYJ2HmU8/NmiPpENyOBRYwRlhBwIcdVHeCCIKvh4v+CzV+8y0vMm4nv6gWupH5N7UCbzwZA
xZnJ1Z77hn6f8m65yZuqukYDYPZVLM0TCL/lCVSGOIU9CjZBBfi+3+DSEXyieSGvxspE14U0+Tf0
4+CtrIYHPxYv7E3n5fJ5qGl3gw8c75PbJckvlFJOolvHc8gfY8mH1MPgdZcT+WONmj4TogTRpwXF
+jw2GrBay767znVFsrUSox38fWDlLiJcqKB/ijpa79stVxn4rOTzAiIVULt2PCq+DJmem/CGlaU5
aop52jGYpKMDiJO6sDwBS3LRF1JkfcWD/BVjp8t4FXbPEWltgiYd8N5Wsi+r181xxvY7XaK4uwMT
rI7TSZYOq3YLkid1AIiQDumamGLvLqZdx8sPikuSJ1Wv+W0YLjVIvBIcjJxca0u6azCL1TvXUfGy
LmGBTpx1r36l7VmWuXh2fT9Chrqq8RorR9jBa0IfzMiwmghUcGHoRyAvR9Os301k7hQIo2k4F3oP
5iC93ZgHxdSJ9bZc2xkME4q7tiKqfYE9CR2zVcBbPuhwzTBokiwAleQNmqvhKsDe/RF5AvHVVmkJ
+JJMYOTU72NkEhECTNQ+BsKm1yFpOr4kU1Bc8cnXmeNNeVjzqn8JpVe3Jd6dTQEmb4gNxioeLW1d
3NqBFPdsC6PMloyVeMrALE56cHoPhrkFcRHEp7OvwxTTYP9dbqDSgJgbjMeAT9F+WjFHrlNzv83D
dxOuZ9mAQxQQl1Figz3YYzcdRrgjJlrwaIh4Ln/6t/Ugz/agYoBwIYLsd7X6b2Xw92Xvpyjql6pH
SYQiH/JQoQij9P6+C8ljABSDQTnAygvI/cJBzQfKA98+3I69vl7b4ZJHSHcXJLRdW1buBgzctxGC
LLEszfv5ym6L+4Fs4jnry769UgsrurSiQQOsmfWfhxHCQBMj3nknWBl1OwuGS55YvzWPCAfA89z8
fLZZaVh06vFcgFZ7qQsORAefuoVhaQcaVPNvbFbinxr337/3EDqrCCcPdP+RwOHzy8CAFX1EZFOQ
Q8iLJwXGRtw17CmQ6xuJSP2TvJXyuBivY3CBwQPEZ7yXy6pxN8BZMga5FHqqHd/KAayMLV8PwPew
1a7b5aNhM6ivHegm8eiO0dqeRraNa0rn6U2CSzKUyOzivTkDdJBp01Tfx3EdUtxb3f2KdJxTSNSY
tb6dzyo05ZmOkLWkBl5mu2Zq2KlfJiZS0hC7w3WkIBo1dQY8sDpwtXb38MlWb4Ns+je/YN5zou2/
0Y7NtxxD2m1bgNlbOpiRDhbo5xAAUxEdy+99Vy2P+Ge8nzZsTeuQlQjndBvCeS2wfXg3HtysASkK
x66pdP5UlIBaMYTbfF9YWjx5rFyWxG2FSfFnu5TVTblvkI56mBwX2PW1265FzrfFGTRXO5BKp1cL
fD8rmNKvNauRegvu/Q/EaRfZxafpanZAjrHkrLEnbguRzoby18ByegfD8eCJYS13hMcn4pU2SYaP
sR7WVxEM4pVj43pf5iMoHQ1fzmTrwiMDtec6H8l0pAtIyVjC2qWUWYxmBGi1WW0Sz+H6QJ1zD6vr
GuQ29fOYYFNfHcpo6fGJgIWC3KjpaaatSgndYGA8hPQbttr58wD0VKV5+1KCF8lSpFjAscLCJ/it
I9rdbIza6w19zwF5eeDnF9hqdwgq3UvRVtcx9yDxTLHEejwEFJAUHTgEZFr0NYDH/M4ETj8IwNXj
YQ0Lf+SdaDMesX43TW7eqWVr7mdXDjcCg3BWGuAAXcH0eRWxeihDVJF2zNGuxKcAomD4xd55Wj61
agZLt+0OQeFvViOCQy1jB856DBwIpcpcalYhUL3ySx1jRVg+dFsQ/JCXCrdcah1QETDbJppEmJcS
7EX4YftZGOefRRKVIsrmS+WcLjUUrHLUmbaiGwoBRAkpvdRbf6m866UGTzRaz70bUHM1Hf3n/rJO
pM6joofD+LjE43AF8v78xp0g2dDGcdYg/XHf/TwY6ssZEV9Oi7ANLRQZlzNkLJoqOMZ066vU/jyC
iNJlkagAqC/8f8b42UPHcGfAs8+z9XKuVVPJbCIHQOMHQ+R0Dhat9+ZyTs5TvWX1zxO014X85nTN
cVTgnmY4pyp9pdtuQQ2Fr/8R2Ls7QKcCnsj080jfiMEHi/1hmfUcROcQ4ivQDA0+ovhn1+AvDUSA
TmK7tBTyZ3PRCFencAzkGQQg0S1B+5grJK6JrrR9krdS7vJgXq+6NtRZqwK4tfMeyqC+6w7g3ZcZ
/GXqUz3PFLwyWUYwmFIRZDwDDD8UCHk3nJr6xCAquamLjn4qBxHdWsPlY+/DvEsmU5o9LSf1MYJ6
eL+2jn8HSXW5r4yvXgJYeD3lrFoNRAxzfLLYfQBknoI160hU3YlQAUKqqpLdwrhjPk7gu9ygp/MV
6gZwgQS9Pb/vAFCfda67WzvD9jMBbjp9W6flMxFaZ0oGvkwbRvgeMHcIBtBSPscF3niNqeE0gW3s
krIWy3OhpPGJNpztWBMF93wb2CkWa/QEVoe4XyGaSbERxv0B6c+zHmZs/gcCeIoFFdK2u6rs+6Rc
JMiAF2ZAq9baAIzpi50AunxEY0m+rWqbv8PfV+Mab01VoCEt2N45SKkSUL/iEbx+XEYgZBwIA654
2oJye4acqrlyoIuf1bi4Y1ev67mOA4zIUTVB5DGK4qEqAvIlXOX9Vtj1GTzKLl2HoD1UfV6dyy00
SDSNpHiAoqZ5q5mAoxchnCVs6uy3gi/FmwYIuyNg0ewgJ8gP+JZviILJQdihfGe7XlxBNIqbP4iB
qg/Ig3kIQJ9OeiBaBitndIHQUojovsLbyJu6TznyCuQA9cZQbx9gUwVrYocKNDc0AEGmwZvaS2ii
dxx6zM+DaaLz4s18A+jZ4TrE885V2B8PdQx3TVo2eAO9HHdAT9cdjP5E0ipxViT60Tn1zcMM+oAD
rMWAlA89NFlc4mkHzpb09Vg8lh0UNqg8aKzzhryCvJeJZuhew0jTz9EYzscFRMtPDiyLT7kh00eD
5z1TQY1MVbu99Yq8MgHufFIjou/Eo+GGCndXK/AEV7PO6byuYtdInBV4rEoz7MiyKpbOahDkatKR
PoHCh3M3b/gZLFd23Kyud+HE/ZcqwH1KtoherS7ANrAU+XcKAdOhQDSSSwEqo63f4GCQuHXe0rWM
3ue5zOFMPQZ7hL7RaxjRVlcaIhV/NffB8Chg8vVcYn5Z0wociI+l0WgXGdCRa3APUW2gIamfeu2E
SUCUw5vqmm4fQ850mAbG0Rpjz4snkYsqi9Uk8KpL9RWh2BGYXno60wooWy3B+gFdNT85EP7ABXIW
bLJIe5Do4I0YYRy5a4QpodSNt52DJ+BB5wA2KCR4oNU3/rQqRQ8Vx+9fSRt/7tAJVrt88+oGWLWH
tJoNexbO8Vs5ViHSkCvQNGFkNCdd6/HUTp4IjKFlDehlMKe6NV9UPt9sMflx2V/sljAPvwLjju/U
mON41M+wro+g4sBm5pEWk+8Orqq29xrS34SV8rWz8BEP4BCfbbQPM9D4HBgzo0l8ydYDcMk6q9aW
vNpiHXkCE8IyG6dlQklawLKLqH7QwE4g2yIK9ze04PYZ64ntGUQWjdhiGN8A6+XX5P+yd147kitn
nn+VfQE2gsFgkLwl01aW91U3RFVXN733fPr95VGPttUzo4GA2Ys1gCAIR6dcZjLi+/42i+vRr/ib
b/OykleonEPfCCN9ZalI3g0TgTYb1beUOHiOZzzYXNW3lllOP1X2GXbUWU/1rOlMWmN9Y8ApHNok
YywyyivUBr4Sjd60XU5qB5T3HlVjwyki2TFm7EWF/bVoFApoQUqES8aSl8HkOeamHsPLfkrXawbC
Uy/HaxyDr272Xq33C+J8qXrTb0qZ/kzt6DrLCoQ/bS3uHDts3vh8cXnppb9BJRidcvQnrxRf4d1I
YG3twOCe3Xs80W+r3U1PuvCsN0Ql9gvSsSaAulXHzhDpBTcBLvo8NAI3Tk3Y2rzYlga0YZpGx75N
E9+D4fexbcZ3SVrr+wXP07sd1ysUUFQcUdeHwZpqstrLzM4PrtvaK/epM5MWydRbl6iaAuKI4kOk
7OKYn2VURIWswWp484McaJa0jWrdL7mjdrNTpQdV2SyyMZMsuvxlOybmfGCGRAauKhcTb2uJ8NbO
y/qommHeUSSrkL+b8VOLzWA/yt4O4HCbg6ta7xDlOQBklUAgJqEYdvwOctNgoN6OdZ++NuNiR34/
o04Ddb2PSg5Rv6uMdTeeL1wXOefeNLOn3FhojMNits/CmoEsi9fd4KTs/EqrR69Fs7MONdHdnBlI
Opac+Iakwk/Y58aENr7LeAKzUnBgE9gBJz3wZPGrVEHvFXzF2CN1W8LSel7KpAsMtTrf66i0DnHG
CRFSNr/per3wqCTFgR4LfueybH3TzVJMgxWn2TQ1UxBl9mYZsvBEFEN4VRKTXXrxpw0wk2biGFV8
RRyeqPPMfJnN1jle6bUnXgmvMFK03F6XCxC+csP4cM9eHkgvn3htSbzxtREWVzEmoqCYMOOAE6zb
ZLZj1qTEYTd3s/wUY3LlJQixPLaV+bUOY8rA0JU/43CafYTGydG1FiNojNCsUQX21QUZ7dmXzKvs
7JduzwSqDO8VQvurkkH7ll2lPynMzkexIPDwbXSPz6mhxqCPkvqtgFoPZJ1XpxThHftfnR7qSbgH
YRFdrca2uSytsjt0yRTUMMViTp3cx9u57lYnJRmgN62nnnXttjfS2C9HB6qyAPuIPeGTp4siPc1O
lbQv5u6wuLyeQ+m9dQ3iZTzc97IcvX06OemzFrk6NlmeXzp4WAdgSPsYTultZOnpv6LM5D9SHI46
r8K2Qq5gOsKT4s9Y8SktaZxRlkthDrFtNt6S7xi1dILqs3Q932vZf618jh4jTfYsQnFvqjZxXBt3
OS0In9pZ63abK3SkS5Ku0LVnvBJMB9sCIXm4Ysx4VYZPbCIIp9ADyjl3BiBcKu1eJGRI1wj8J9v4
G7fy/zAeTxfQOQXlP8fjrz7ij/aji/v243co/tfX/Q2Kd8U3T0hPCMyABHA5LsjHLyheftO2ecZC
SBTwAP/5Wb+geCm/Cck/cF1LkgwPYvJ3KN60v4HB2x6OZHB4CzXSvwLFg7nLf6Bw+d6wAcoxLaR/
ml6vP5OI5bAA50pj3i49gVIHffbFzOPZuL7G6meU0Y0T9Gx81mZm7219NxobHLqRME+e4RjJ1nVS
l8Oxs6vXAjeqdz0O4vxvlJ38bjWAQZtkZS+YFTo6xChEQecOqAidfWle39k4bl8MZSfRg1jwPd6R
oZ53qPxBJAJqXID62lKH6JryqW2RJdYeIjm6IznTSKDggisk2mlPFjiFF2KVnaCyy+i27CPzJ/2R
CpsLjaRBkw0ej3hj3MssNuT1kK1jscFIrzDwJGaT3Zz1LpeEu5L3YOei4w9opwuMBhjQW7saw+uQ
BlVEsC7KX4yY8hWN2mLuJ0MwaDaOPEswQtRiM+4w9sy5VemlGi2zC0q3iznosjlqN9XYKbpXojTG
gogHbdcCUogNbKGzAsClSXqD10eQnD3LJ9101qUhrCXagdeP+YFLe8ou0ISfgdqzs8/XsC21vyDs
BrpJXXUnezNbglqoAeGvHW/61I2IMYjkjUMw8aUJFI09KarfOtP4bqMVSn3C2asBjdA5eROzWO9D
87q+p/Lkhe8GJztG7S2YhFsd7bxGJ7NiFieTTETqPiOVOLoqo3AKA4LLcSPjFLe6Y7msxrybKl0x
g2phr1cKibhxETlmzVQ/cUQdkA6lL627TsN+gLaGS2jnxQvsJIHYcWHgb8t5NqcANW9XXiJIJ4gE
DxeLeDXW5sHuMesGLLdYnIRiRjxlc0H9FGUZw7i1y6k8yNnt+w2idllto1Xyv/vRWhZsiXES7pYs
GxFtLSzIW2xh0tzGhI0CrkT1/NhR0Zof0tlSnzWCrKcC+W+go7b9qroQQJlPHS4oUYQLDpK27+eN
bVZ4sVsxHKO8A+pvVmdtA2G4Y8G0FeqLNBXWZ+2Zw3yITXzH23iOunGDq4p3bKEl4wI5MZNuQk7v
JfRhfNcmzi2TmX7qOkrWgj5sjGNEKDZuxMkRfofN7MUtU/PeGOLuffUWffLs7DDCijWEm9AO+BC2
+HVIMUx6+Qjw7GhuxqxqgkHUy0NSWusXcZbr1WhjGgvw28fmTTucF+u5ylA+yXKtx8MqouLKS722
P8yqoo5RpGPx1htrc+Oljmg2SJSRGYaEMVcBwdHqsVnis49LFrrxXcMlOTDLSvtS9RR0oN/AvIYG
14jM04B8ava7qFBXbW2SZwGutuQEzhTJO25qOW+dRfFpNyMD5Sc7m7upmhgNsSvCZ2MlAGJ1iHUp
5qr8YnZGkooIfxeFan7xRh67pgNl25uond+WPOK5qc8O+aiy20CpojqVIh8fO4rLQcoY/BjA0T0n
ig2ixRHW+srD8z+MFYN1YgJcpyjci0NDEdSTWWTdCTNF9G5nMva2a0/u9102Jw5qXyse2TiXZtoN
Moo/59poFj8lQm70z5gaH4+8eUzQZx7n1VEJsvMSS04M3OuTH6jzr9qO2wsLdaMVYCFbnwczKr83
YzV62JatOdojInHrTZExLzj5NJ4XyOmaSBmDBkFppeysVT491OT6/5WOMqsNoRZUhbVe0SDFl2F9
MZJLMeznBZIWRYSo001mKeiPNeSzGtisci/UHDo35cisyyphvJOJ4ZRPbsr6sZkoiwTWyjyxQVxN
v4vDNeh+L4zFAnVcrT3SXD6e8QviNvHZDznGZlmlW5Vk7c4b4gbo1NUGR3hhbSoz4UdSgdIctMIg
ASFseRz75wiFBsVe+VjNg6UC8Aemf9WE98ViiMdoyXhFtZyccVti854YjdL0Tgyhg3pVyBG3NIpd
46RwzX/oEc/BIaIjNbtSVrgGbsSRg47cKraQfkLTTtMOt2GSRaivOeY2YzSbPedFQtsO5cl8EjH9
o3XECjY9ecvarJxXZhL6Ha98sl1rpe/yGfFrkC9l0QTkfTLe62XkF5EsXvcJNdBcAKuDWD6uUX4H
scEEcUxcqXDgFInelpxmHptvMp+yPhFg7mo1jkNpRsd5ruokwPXgdQdpADbt+sb2DuytyZeGAXwp
h7a6M8Y+wcnfJOt3gDmsQZVjE/0zA5BVG35EXwTjkOJlKFWWHTr7jEwT5X+OUtWrVD5rIC9CKQcf
RWmR3nbZujAgtJb1QeUrF51blvXjUrndVQXaDsWYzVmHgJ6j1aPN3fNHJyquZ10l95Ybj8/TUnkX
2RJ5Fqo1Y71PC0HIWeQi/b3KvHV5HFeQ382UZlxH+BSb+jDrwf3hTGo5FCDhLNkxg2wFNZz7pApN
wGjIFys2GceFx5/j8EYt6bwc1AAWc7u4ehx9A0vHlWG13pu2F/sulUTmW2kyIwEqoC69BC//2seb
sGT1tDjkNmE0Goc0yYXvDvNnWueoZmvOTCnYAd+RIrt5EMnVfemTwfrZgQFQ0T5XH5mxYiKqmjE7
ipnoWM4YtLEULT4sKgXbnAa03gv1R8E4y+TeaErnAjBcyP1olRr2QMcbcO7WJ4grSoKGMB9/WCMv
9xXpBgHSaWoVnRBRfLOGrS8iqe9VbhTZO4aH6FKP2RToKl4PcyHQotcehThxPVlQBvzS+zSqAIZd
U/aUl0fTyYiniAAGPfXb0kkWZ2umiXM9NkYL2qyiLzWhMoUwfDRMLlbchJFKsBi01S6Za7Uh0kis
jB4OYCGMO6ckkTByPKqy15+NEdfwfGUu8Xen6dFUi72XbejeKeRXKK8T8zHXVv1um8B+11bajD+1
65QTswHL6o3u4zbfxOlk6J0tV7jYBY3yVpgQFYdKZfNnJCPvayJwbnzGNFYme12Z1VdjW6K9m0Lp
OOeAXce7UAWWksvEM3kZo8gbFmiTsP6yopwwBk9hDTuGbH5E1zDOIfM3q8JjpbXGh0ZgHNkkRGc8
TF4HrF3NuljvcSXfw/Rn1YXdgj34ljctd4tjEVBvrfGViSjykMAtiSCe237f0jMEhNAXNUapGM5R
AqWSewOweZusbXws3Mi9KFMjOYTeZN1AHiMTKDD8bvsZiBSrH9CyyCPucmaQr1ZZ85NdOvEW0lFC
pUWSKbpynw0DDQtYsnD7o4uToPxYSlIO9hy03iNbIvjn2FioF1Rb3uBFbZ6HmaSN1Fom88LKlvyy
k5WTBwT2mC9w2OazZla77no72nv5GBEgWLS62MODAXYLOYNjLnXdgJCye3JB5huuLDejjtiwXvqw
+5BtE8YBYGeOkBn9HS6fpnkxE7s2SHOLHXINCOGcAiNZyucmgsHFKePSKqexsQvmxYepyWfb5ZPc
yNd1UuTENHjUvveqAMQ3FKdxiFmWmfzDnFe4yiV+SMGRjoa0OPn72ba8i4ayNn0Qqzmul5mZZ8uu
yEnCuAZ/tEjUmgwn9Q01WMlB1p0GE7KSwuHMc0bYQLN0o13SDHBRROLPp2EFnuwwesNqyEg+JCn2
3w1BMxEBPFl93y5ddM9nfz2s40qgEti2CU+/DsNtgl0pwGpRnygHsXbSYCpIcvVDaS07QLYWnVDr
pvaxS7slfkGRHpNkJusQf3+Nu9xfLYGv32qGWzXNGxpia38eIHUbHc8XovCqrSU05qkOHztwKCal
biVIJ86d1gOpte3rZvb6+wlNDpXmMnmteW2PZYlCAiNMmWGfRCqiN2QNJclW6NjKAjUaxlvcE4J0
kRo1uRKDVThPkzXCBZYpMEdQtGP1XeSuQwE7F+01fiOWs8o5J/d11LI/JMsc5rsq8VLeQnt9wyJH
WhS/hd6kRAqYBK0UuE+VVXd7ZbXzeyOjXrCOZeoGEks8MuBywqZE3e2WoY0vQquafxRhs+z04uTH
1gzX5DB6lbpiaXBDsm1IewdQsza5yTqzYchYnQCb/9AGazbP77NcwtqXSNsl72K4LXKkvQFZeit8
dGZl6ZaHGe/xRBDiJ4+vvuzwQKOlNQW3+6jK6BDGcV5vxjjfTaKBzcCbWNxIwTC0he5OTNxgqHJ2
bMQCz0lipGxVrDc6YMld4SAy+W73XGDB2g/sr1jWgdgXSoUzFiVPL09t2JkKzJTu8F1C0MvX2LT2
ccT8+VbQtLzpYrs9ZDXH/CqtlqxE5FP7lsyfbVti6Cyw5aY+cUCIp5Z5wGBdSN29K6MJbyJntPfa
bOPnNnFzd0PYQpztwjTXd5DlVXfRVDIUm84LdUg+XKm3bjF7KU6DKGWglBFzDWbJ+catkdEFeGXg
bz3LRRsQPWFlBgK0U+35BG6j2atXZ2c5idgT6uJeLB0hUGiHyyMJDfWtMzZiU7caARR3MwQsTW/d
fYsCCIZtcIgQAUr9nvax7nee9Pr24PR4gVnZ+68aHczN3Kak8BRSOJlvV1HEJT0v4kP1k9jkvA+A
/2q9H2MueKZRfamGWN+ldYQvFUDzijSPU+R4do9zEv0p9vaROlT9vRsYeDKoRT+R5XSaYrYk2aA6
SnMm3lFbL+saf/Fxm3mNE9sfdPKVk31y7MB5N3ni8nqnTMizqa9VYdQXhd3xC41VfYvfiwuUBLd3
ZgpK/zj89IPKPgSoLYHnoc2gX1obos/LrQmOfgRyrh8oJBV7shuRE3vxpqo6a28mpfM15IZ5CEWr
iJfLDmvpAivrAW0KSdjlLi1a66E1zeXkINY4uwfLE3EK08fQ1uFGhVlREHmyiPlAYhBJNxyS0/d1
0PTpldD0QRfa7gUSSoYu8gDTPBgno/mwM+0u21Xj5FoGqz3gdjC3mbacfUo6wqEOF9b9sc5uSaVY
rrWt7Na3p5z4LJTAnu9O/fpjSTtIyowJMqD8xn1cbK0vF1ljt+tKxU6cu0jYMrGRTPI/cmNu9+05
B5rL5LXBpmb6a2UPV53mEO3xnqRBTapcuC8qLzrQH7pvcjfbl+RF+aZVA35kuu6fGHdh8fOlq4P5
r51jrqNN09nZT9eKvaPdQttMS7q+mShf7ssK8QkuaYo2G6mWzi/PwGpic1yC3OztCkOijOo9ahV9
MxDTyB80E04mbaxee0m0284aqjCInN6+HHP208FRzSvqtRNRXKC6wnbse/IS+kNTtPMd6QkARyIu
ECiV2WuTW+I1FAUSgwEB2GQRCaXKRe7qc5Na3tGngPg6YKKxb+PG1lsssMkFsj+fWMThYM3ONdVx
U6AaR50WW5oMUt66oTmh2ZYwLOzIY3LZdpGxHbmMd9oTjHc6Ki45qNItj4z7UhoNicRRi6mjtIjt
kWb0CMuDJjKBqX3EItTtKEjv+XyQpXLjRo6r/SjVBEFCmmw5cRe/ssp8t/RRc7FiTIWuNdO634Km
HRfkpW9G6opHm9x/g11l7Z5WOhOJZ8isl4b2oj0SMcG7uopDrXn/2zLqt06Xp9FFM0+MIVM8bUbb
tplz1sz5nMv8Qxv8IfNZ0IJqsfhBtkG453yo7pt1mhiHQuM6txp3q8KJ6j4u1sEsyk2Ux3W1t7ET
klY436Mxc65rG5uz37MO9L4Hlc7hPNnJiX4VqHIspT9Eb90S2DAFyHZWBrJwudVq0dvZ6BcEWbic
z8AJuYmolua0PyIVAptaECc/a1nYbzbpYKKLuUmiITk5TV/vF/aNLcloZXIdzvbyuSa59ZRls/g5
tYPBPuDZtwMpC6m21/4arXQ2XcUjGjm+V3wo1vx7Y5uy2xpWNx8YvZefyGGK26yz5aEZ0bO1okDr
Lmi2UcNS7kYXh5wPCwGLPK92JBmHHQPjcJqsU+CytNzhaMR2a5cml97/HgH/VfK9rbrqZ/+ngv8f
RP//J8n8hSklqOw/YxY2P/I4+Z1TMP/+Rb8U/s43emds09ag9jSJnHOgf9EK+hs5i3ThOmdxvSvP
hMO/0QruN9IGLJIwUd9DL0hcNr8U/tL9RrEwXyXgFEy+o/xXaIW/erJ/l3sKV+I9UMrUlCmRd/SH
ayspbTJoUQ8jdSWwBtVbQ24b8NRrPPbjDXnAj4PRGvel1eN8JdeuPsEcEFzI9pvhPE3ztyJrxw/M
k8kxzLxhy1JjBytznE9yQM/wnNh3sxY8rBgP8XhO9W1ElssPrMaf09ARa7x6xrZJmYeQP1e3tTeF
j0yXRG43ZvdiVar4gI7ONgbZMX4XZtntUtn3WZWPp9wEPJuh/p6tVIutSFd0ZGQxbTxmrIeq8l5J
0QCImgheLrNm3mrDmPaCYdqfma03XVfjzVyaB1Eg4UV+WPlW3Xv39Wxkm2HoG3Toyth2EZbbaOqI
0Gl7+0BYZbMn1mh6wUNHsqYM85+E5JSXaHzjT1cX4KhL138OsAmP6SBZ6sOQEESlqeuCZ3CSTVrM
BpoDHZrvWUrSjVYUgIvG9S4nc55IvkEMDWDe9PO7VaQJSn+ISnhHNYq3ioXZF2E9kRNL8VDlAxtf
ocEn5WJxMvfZNfLuFDccl4HlcrL5q1cxK/z1If/v5hD/rzsSLKnP3X//OdP4+FEk+f+4/vgafj8U
fn3Z34lGypAsrDvAvp4LgfzbiSBNOEitqYqyvb9qQH+dCKb1TXkCdlJYnnYk4bR/PxHcbwJQkK+C
HXRYlqEn/wXPz1nb/vuBAD8oXY//svlpUkgOpd+17y2b+KBJXN8mUX2L0HH0M6N5L5QVBS2rl9Fn
F6qb1wO53fHfPlQc//+x3YgD7I8ffuZdtY0VynIBsvlD//GH81AIaH7uVjM31kPY63PQLM9HixDN
7wcHqjNPEYV1YwwRJZLLvjLF95LsvS1xnjE8Ta+6c8/0Ol+PhG75xFPap7IlpLK1E1w1rVcSztd5
VxbyAVSry1gdQnixhfkcVqStHcI6hJ0RzecC7mn9aMWWR2qW5BsSCFZDF07mjapMdoxBd1ecZeRG
IVKCzMR+cYbLeljJzrp2gIIfTYB5lJdk/921SyTRh3fGo7OqOdBu5d2c02d9x7HUVZRhJUoMY3lK
k0ZtaR/IfTMlgDbO9bCXi7BPXoYK4rzOHFcCJq1gbg1y/KUTG9lBOY1ELN3Q5N0ayTAdDfYB69SE
zIZ7hal9HyUISLE3wRlU8eK+u6FKrSCTtby36KeuA1JU2L/ICOsA0ZfDMqbdZR+1xoGIvbi4A9sd
WegX8VaqroNPs41yCcRKdSIAyDS9TlEUkyTjTsUD8VYvxErYW7IOgOFlf3JLdfJYJA5R2iI7bF1m
o8Z414PwrsSgZs38PBONQzCJ9DP0oclJp6RYHNZinq+Hull5sxC+j+5c7PNY060NIneWh7jVZckV
d4zzuThYYzw9RqRW7r1wQivfDuuu61wD0RBvN9n/4iMvuSl0WXchNEkx7zPDuykgfy49RKu7DBDn
yjKyfSUdYiNtlkrfMTr3YPZduvV4cmxyxgbzckmmuA4QXWIZSqew3tVGzttPHjF8Sa2ODNm0DhgS
CggwdaP7oXvRkem+EOwhrkgJ4jMdkRRlNhbBgXzO0dnkQUOq8ZW1tN7jCCJP3OzQbxjdKSQUKInt
wqvxaTXsS7yD3SPibeKKbXadBzfqsLuNNjoGjFfeWUoNdUjYbIck5z11ia7c1QSeCl5iQScKlZoJ
T4uJw2en1rPX1pqkojkJ1eC1WzrWZ4mP715YJfC0Q7w3YXXu8jBZofNjjWT74Eyd99T3nWyQEA7G
e5rI+TIZCvVIXzXGt7maG+daEdIIHTePVbsJRzucdqZhNHsUGCkcPKg7vrKsiapjn0XTZ73MyeCP
qZSXaWu25ruLbBnSkLBFBiwXJHjV6Wc3t/ntVKQZ8rIhf+wSaR/Kqjli57UPjMI/VxLe6ZyYJ5Ad
y/oZVU79hfwuPSz0F14hL4iPQCgZsGRNTkPUWOO1xoV9EnZS81DDIj3pSXrf09AKj5gm1o1h50ZQ
dtMEkNIV9iETDS2widl1VysQzXaxyvaFLp5mmw+TeU2Zgv0RrmO5G4ik/ym1aW4nSO770hjdh2ry
zA/SR/StOawDQniiL5bZ7Z7IU6v2+diJS3RyxWuc2s1zlVrWE4Ew6hh3E2wB8fXhxs7OJMIwIKOv
SUYgmKUkhz5IyMBvv2MiKKNTbLVRB7yRu+pJIkyegG768LVdw32YLvHPMLS0c1CLGNatCV+zHgD7
VtBYejO2SAGIPotZJzx7Jf8mHdpZ0BjRlAx+86Jhsw2v3cwpylk+afPil2G8cCA5HskgRsJpDFqF
XYvo/DDdYdRYyo1lDQXLV+N4l329FBertZjdrlGZGUE7S/cYNq75bpNLeTu063hshBO+dBZ0xCY1
gDQIv50Sg/rGkcdmTKg9IYksd/yw94iXW+zpeUiJPT6G6IuJe4efuju3x2C5gd/dhqg0PkpSSa77
Nu7kBfu7tx2N5W2ZiCDfLBEvDMG0xkNJGO0PSJ3xiO883k6OpNZCDMxy/jIufQNBWJSvfPhpLylW
gpiCack8C7liD6Ay2M0iGKJHPQUFm2IXMESS4EVvnvk216O1Gfs4MykoE0T26KHp34xyIhvSAZ5/
KVQtXpsEVkk0q/yeDL0kjW7Fz9ev7Q52obuZZu19ddZaXQtw4nRv2b1AwaNXGFLsktV+iebRDvjX
klPTN0SeRrVjPYYLJU6I5Hno/YpEnMOStvwCRbbSFVHE6xTiGk9BT6MsLQyyZlC9cmYqzgvGdiR+
VQZPAc5oD8hjtEUAsZuRTrMv6BI3fHm+d1zLrp65ekLoMxL+hqDCN/qUJf16ytqUJhUjRI+buj3Z
+vl82dQhF150jkEGnO0voMtJZs1jy0D5WBXlbRN2A7gTj0NtoBVCK2PfEkIdY6AtHItY9FFfm6Qp
BhFCpMtiaSdO0zU+FV4z7eNsQNoD0IFWHy0rtJJXW/G9wbrFxiHWDlnCOInzgw6ksfat3EYIAL/S
peBzOyxEqtGd6HU/W6iam3XNSFsU/WzsOsSK+BDJFHst1Kg22Kv6OyOr9lav51v8Y949nGf0bBI0
7FdycYIQnUnh17Fkly/J1CN7oL3s4igmjKfjsZXaUE85hCTGoSTjmUla4khFRGuNeWbvyOCyhM/2
1l65a0waarkFFOJCHhqweFGhEMZC8DjO6XQ9ojh04Dmb7FpWhnlLtZB1rQA4sZ+hALufUUn5i+rF
iRISvGtF4Y9Vfj8YMRRstZoBM9kuEVG5YYD9Dq9gbybd3sAHC7844/Eqrfl5fCF9KqRMX/TVVO3X
TMugwFOzU8TsEQqRlu4t4hDgaN1B2G8yqSSUsK6r07n98pVbbsI6wYeKOYhB6GcB+HsN4oclkET3
9V7LVFMDZJEd508jv9BRUpPXIqZVkA7d0P4YFkiePely/Xe8JC18UX8m7se2rg/OKMVlhoIClI2Q
5zpICwdmMx/xFtKqU4TTsUw0ZRzw0kxrWTFgOFZLg0KkX4cAXpV6FCeyuQ/rIRleeruTL4T25Fvc
NRCj51GF3g4EmwWBqSRWbtNG6O9rnTl3Clz82VwZKQPafbKLyLVqTG+S6Qtjn6ie0ER389acRp6n
goK4W6Kr1utMtOOBlif1mJLLdRCk6BKcqd3XuctaEcxkNlQbAt/m+hjOFB7xS2t+E6JjB1pDvBzY
D+K5/eFlRJ7vYLUKdP9TujzYIK6xz8QuMTctqbAPYq7ay8HAZbpdoqq6jNOi/tkj9OOIJ6YP+X6V
Kc7VDnI3MLXiEEvGye4uWyxx001ZKKwiRMFRRYsCDy+wiowFwkLMbrlJI5N3vUZtQQpv5iU5MpW6
t3c2SVUPY4sB6gK9RySIjZNyvPB0g5EN4TdDR5V7F8Po5C5jj5iZgHWINhjrFw6o1OuY1qT7WK+T
fCGBSr/wUKfjBeHt1qkwqedYOXSoEOGoeFrqcCxPRN/FDcw+em0gX5qANm7itYysoO4nBCPGh2sQ
yokghqxP3xGMUdtJll0CNux2465HkduCZfK4XhANEL7k+UizyAKFcLnCtrlHm66dY161ww7jqvFD
mGl4kYUmWj/BrXJc5omjuELv/2pNSsRsCUb/wrtdXylzBahfC6s/2hzmhHHk8rSqiL5NOq0vC+py
EnjXCqUkf/p24ZcYaChQ8zWZznm8ceIIhTs2lQVTjdfYj72QDRT/b5vrf+CD/iO4yFFsmZ4wtXMG
sICq1B9ZL8hKkAIlxJeFJplpVR99lkn50Jj1q+UVD7Q8cbE6sQeOkrx3iCzv/vnP/1N/ff7xmngM
xXSHuVic///fwmCysJNFNhng0GHX+NRQl5e8+Pnpn/+Uvzba3zfe8485A3AWmlv+4/2xdC7dCtuy
0no6Rj074QiyHjiGZbgHFVM6FGRjXUhfevB7JdfTOQsA7alvjvn0apJCdlyMcrjUddHfUxrjXZ1f
MhAdIa8xpy6vUrIoJPBUZTBwL/a3EMBVuPvrj/j/eMx/lcSiiRSFDbF+e8//XRrL44/8o4w+yo/f
IRnzf33lL1jG/PaXUNtTmu8nxRmc+AXUOt+khR0ewAZ01/4Ljf03WMb7xsTgeMBvtqS32QXd/QXU
ov9m5CGDlRRNFxPmvxbFwnf8AxuhFMcytXQdE5iWcqw/QgmSjGZVKyVgrhP9vUYGdCj6WVKOZg87
zyimH6m7lNRVeN4B8JDakDnvdmOsrQM3hYUpKiWJfORzSYMNe99dh6ZoZxKDi/0IDjjOs/na+cuq
BUN05Baqdr0b2l+tDKvdSi2tw7es+88Of09HAZ4yhd/OiX5l54yf+/p/sndmO5IrWXb9IhZI42DG
V5+ncPcYMyJeiMghOE/GmV/fi6nqlrqAhiQIEPSgt1t1b2Z4uNPJY2fvvXbRPNSl5qBHohaXne5M
dZbjrI7xMIBn57Tr49JNTCwyISWCHfQC/NvF8CvAYcMtToFNHvp3JJd+jc5LNwdvRzzzjJPEwMAj
72puAfhHtaOPHIqT1yKXDgC/mmqDFc0APmUdOLWLdeGH+S0dHacksm1VxGwM333oAhUXe4qZ3NdC
m/2Hj3MIKQ9i65EymuDFbEnAMXilKTE/7BrXKdVDueqM0SMFFNnxreUJ8KaJKKfwBmLzPLL9WPXD
dLUmqz9wHBx+lWaefxo2+MJVkzXNrU1HI9oMBe60KbPct8AEEtDatvESgdF9N8qCLRqqbH+ciL8+
9ij5W22H4W81LTSSEEIgLzyj8C/ltXcRK4lSoeZ2oryYOIU5nI9gDLAtYEmJTEYkpiXBi1Q+9hib
A2VqJtZN5D7DdyqnaROUSZhx4oIwGBKC3AvmrwJohz461ONs+mY44Qsxt6LD/QhFJXrqAMithiTs
rUX8Y9Q23CTALjkPX5DekhMx9OGBC6ojIuUpDgUeDNBtuITQyTdtwPcxupgUAviz9g7SyOO3Cjly
M49GfbYM5k/DIFifq7G+ScoP9mVeksBq8VlFPiUzGWr8wety88wnClbIWDpT5tT8rOd5PkVOGNyR
L5OHKeFChRcif7ZpMe5Mml6OaUkgLi/US01qa/B1uQ6SLroj1VHV4uvqlSAmlIZOOV+x1U1najOd
dWhjn/OYcmypmx8kyz9Ib04rSzIc8TG9NX6PlajoWkRwfAnxcz4OBxps7pWw1l3knrxqF8qZsaPI
iPrQDLnCnNQd3KIlLMlsl0rC2GH8wvdAPuCc8Z781PWKAyeM5JRFRvDeSFO9OG1SppvStoggLR0O
8aoa4ZaywMymZ5wO9YEqH/eKT1Oy6WzbYMV+Kj4SQcS7lZNXfysS5VzdXNkHS9cclqe8xC0ih/jb
7LNqp4ecKRTrT/MTjDXTB/Rc/0UWYDET7Kx8/B5e8xXXyXSPHFzuHCy8jUwCExjRrMJ7NdKTskE3
5mih1FRxGGYJywa7/6hIMV7j2BlOk1m4V1ifHMjwJM38TRkUj76zntCd5EHNNYYDCO/9i/KJUnS5
HA5g9KeffhbnL1MrSsgUXuL85PqOvyOvJ+KnXAvuDkJ79GUFmcPmbFQ9sf9IyluCc2U7mUS7F2+6
Xe/SMgG2GNbEEXI3iPbgg4pblCb2S5+L8BRoVzynOQEOUviCF0ke/B7FCM4bEFbW1tRt6Ow7swtv
4Jitx16HHmm0uL20UUVTIpcwn2pgizc2de0lSxubgWkmGGlzCrfYwVyLIp/xtgDqhadiB+bZC4hF
cFAFtANE6EK+ELshTTXWxI7Wsl4M1xuaLeZyA1XLkleZtvkj7HnzyRGjgFSHnhedmIbla5jlJmns
atK/hrmcKesym7XEIV6vNeV1mHNPSY1vh2NZCcrVH3sNGaFM99Dv6mabxioCRZpFh8Evrmai0fgt
wyXEDiKIYpPWOozKyh+9pB3WLl/cLSD2eI9ADR14mIvnhpwGPA/SlFbs38jFhA+kO9SvlILZhyEM
0p0lypnVe9ufQ/DIuINc82c6AzyA1DSuyTG2+yh35ZnTPZ+hCL1L4NcpG2H8uNyLinMx4fdgwd4N
W5nnP9Hsy21mGfoABcf7YUT1zlPdj4QO2z1f/ehopd6WVtRoYyRp/9sp4z9JU8mt1xgTTjsLW3bJ
5hx/wSk2HJAznQtjx4pvgobcjRt4xqNlFPIwzWFxDI3gZIba5bzqjeaWnOn0Dp2YtWhghfpREBDE
PBYa1VY7YsO54mXO5biDo0QFRFS9ZyY9n1nVWhtozz+XVVZ24jiMHa3yu3SDu5e9Hmu4cdcGTv9k
9U7yMNJHxYKlaq8AsM9SuZ/dWB3YHlSrArvgirVBt6bW1uLUJKAVLxj8MlKL01djgVgN+Ow21K8l
Z2EXStHbsWivoxvATIhM/rFDVd1jsD7pNOiSdeDiKN/MESP4xlLtlK/YGFas6bOvfMryk4cG8WFn
FeAmFn3xQzK1EHMjqzbXhW3UTzV82f1cD4qDoUPBgezH7pxHIcl7wT5lA8/Ixq9v2H9yfBrxlke8
m26dqo0YZowwW1dDF1OZUjU8B2LRUDMwEWdt1qg93q8CdOlN0hJ0i9OoWVW0O0Bs4SEG/p5SWls8
lKW68WvhywvdKXmxG5P6sMDHnru2gmF8C4Lot8/lTkbb2zD2PLhQxXZpUydf3BDrJwoRAF60bg7z
F6WJX6rk5JiQWGfFOX8YYU3MS2bjKcGhPiyw7JpgFO4R29fDgwSl87MRafAZ8oPBO7TjdgH0rfLc
ABpkV/q1lH1xCD0aG9j5nDydd/cqCcK31M2rPSXT7jdp+ux96J2KgrYZ5UFlRR4fMgSYA4R8km89
ygQm2wKKCpnV4s4zYNjTHNZflavmk2Age4tnmZ6Iwo+nGnlkA+bVPFa52/JAIpzPQhpslRKxOkaa
98plrfhL1K55UGHbbGx3DnYNlTnhJrdgdEQQa9qUdhkg/C1RQ+nihKxsvRHNkh8hRabGou5WKu+2
3aD/2A4JQDbJRAzhRQgOOTjiiw0maUqgYHR5Yno07No+cap1jmk1oaTnQfnlcj9bE7UL1m6Ta1KK
QPqqFpaGmEGzJFqpR282rEsYYCPL0W0eCnaVK1x4uKxIp296UjOIe+Ia9t1ZiOnbgrIUoyME5sgC
0XMx4DVbZ3ap+8Ry3F+JPjm7IhxqKF1htDdmDuzNwFPF11b/QjVW+zo5XbYeY0jUCPJXyLUsE30K
icwIUkLQ03zaDKG9TQPDY59G4bzNrSxa2/b4wR/qL7hl558E5sZtkJjJzonC4mJCpv7B+4152vG6
IoXPDWgeWyflrMBUDwSzo5MMpHysep7lAQInOn6Q3oQrM2BAc/BoWpa65GaRXnpUP0FwIHXvfEPZ
VrJ+0xfOIfljEQr3z2yymibVXeDhENbV7YR36nTm/sHy6j94HfZfFKz4GaN8fXZNj+6fBGDxh2Hl
7QO3Tdhc7DE3lGf9CmHPHGSBdTx0ku7akqr9cJyWQEJSwIUhDYTJYLKT6qGa6pzJP7bjY5mHTbOK
3Gri7tFiT5vHAqp3SS+Rlt7RcOX0RHQJ5EOqKZqKZbAp6Eo62WM6vQ1w1W5jHr2XngzueB3SD8Lm
gJZkFW+m1N5jpk3ZXiX1TsaetUXsYekcWeVVy4QnXRWE24q5iXwON+eOvlmaVGEymBxleJtVTksk
Nzzmx/I9Qjb69IssPZHa4gLWYA+V1YKTpwyqI4EN7vQxpBB6nXdetxUVtaTBlKU0KvPcC/BybvBl
9VjPeY6PEkZEKetXr+3DH8oImDJzXNgdAxEFZ/RLpXtk1upo5dkXqlh/54k6st1l5KXdoQPzTs2v
aZLQ45gFa6kafsXx0L2kfpWfEj1Q3sfi+4jPyDrJscu2osF/OeZpcBjoUvRN4IZVnSVHmf2m0NX/
HarKPiaQzRUjrMliKtO/JiOazllPLHXlxBndKvSW7YMcMgGadLkr5oG3zxmcm+Eq9Lco1fehK4p1
5JXVT5MLhkyu1R8TAWUjplcUG3jDOFH7xqGVE4BI38QEGsbTcxDEDfNCkn2llj/zqyDt58Uc/eIw
Jo69q61NEhgOWdG2pplpHp7SfpYVNA7b+ijow/gkz9zt6tisDihPPn29flb563nMOfS0yrprBdAh
6ME2KJg36973052izHpp2UG64yTXx+uq4fNypZ++T8U4cGUN3r5EeEG36lB7aceuF96ZK5BkqIDp
Y/XtM/D3rX8ZC5+/v6IfqS9AvsUsuuVgnlJPm9tc5n/qYTyQMHtRC9GIRsWYhggbBSUrpkOjZLib
HF0fe7tsj8j37Udtlv3X3Ft668vAezPYTV0oNA5+GcxMEPO6ggW0dv09H4+D0tHLB3vOqotHnOJD
qqBjNnLdI81s9b6zDcpT/Wk08EuQiTv485KDLCwDeaUouMXXce7vBbGCFezGOmbUpy4tgGv/yySB
CvJmie9B/5Cfvmd4wPtA/71RX2ptKx8AWTvMOHkhPu+npdbSE/b45dFPzLMjLVAXYIxyLyvmx5AO
plPqzuOj0TQoAO5AAxrGN7El5j0fZzYVT37u668Qptne00P1TpEW5oW5IXA+wT/00gF9oxUmCe22
8rZdSxxdBHX52LotycOu7KnumcP+xSi8AdRx74CgcktvO3STDbiSuOkHtot6LxvxHacFoaIoCvDr
Uzx1xyhlrofMjnHTY9XQMP+jDeyI7mGUszjpQAhavaf8vXNTJtdZZveCrzvtkVl5XXK510xT+QqT
bJ42ZUQL0ApCaXNPZVvdGK5JedhhOR10Qrh8VfMQfQohQkKrj9zsWHk5vbPWrJ+TihmW/GaaH3Jc
eRufU8xFhEtnW1Y0r54JWZeuL7memjR8cxJsEoEObIXyDWp0KIg8u80wn4jQV6caq+x7P9v9i88U
+tiRrNxVc2K/5WKMT35vJT9D2fEsCob56s4uxZ5pZYYX4u7WQ9GQrAKA5xEDyNyjWfXYL8hIkh4t
ca1+9Q4BGRKjtvmVexblz3yO4w8nxQRDyMynR1kCiqy31G90Z/pfrK1dIr6vcJzMO3xo1QPP8eoj
oiH6rScUt+QtORgo6NIT0dKbrRz16slUnpR2Ubq6HqnJEPkVBZURK8FuWGM8iPt3S8IMcs0kupEU
prazsWb0sSH1PmYLnA6efXPVVio7G6nL1BknEr9+B/lc0lB2B3Af8tGqL2iB3MESY08fZbwzJ87g
/B4oXigVvaANNQDduGLdnIIBWHYPZIbzg9Viq9BGlr/amVmfyrQhsF7MhOcMUmmbkcK4ELcheGFs
InVOhZhVUbwTs+zlt2a8NTzCNcQ2HmIHkIcryIa7o2PH/5f9eMui+T/A3P+PQLY9YbGK/6+tducv
XQDeTv9lrfv3T/3Te6v+4bossEzo2f/usP3nStf5ByKjCwUOrIeL1w5t4d9Xuhhswb5y1lnAL4v5
6r+vdK1/ANUGCcu/cfgHT/2fOO08F4+vcD0bpoinCLj9Z3nDA6hcyZYmIrdxD1Mx3ah0/LYUbm/M
KUbQPvZl+l1Dy/qfyDpK/quwgqZqCdi2ymSpzO8i/vNPDiNEJ2/Ouq0X+PpP4AAo6LCUsfpwe6LL
AmIbAzZEEnslFzl2/KvMZotIy6O++nZcHjrrlOSFh68WQbdUE2ggjrVkDGJu5xyIXXRAs5nUnW3P
2BDw7qOd7QZiHWkbydjr5ckIW5AVFGvPbHIQl0GfQUdGb+ZwxzkNBTpZpOguVbvEJyDbLjK1rIun
aRGuW1REzxDmmfyIuXIIGT3Zf5XukQTLldZMHlChlV5lY6CJd4s8Tl/nwkLk52GIaPY4h/PHyS23
aZVcEhumYVrxVkAytGYCPiYKfPxXjR8WYT5fJHp7Eevbv7o9+Zbwht6jL+4i61scSFYCJBla/yL7
i8UAYJOBeIsXU4Dn9pwFZlIEtMXsrUF0jzTPOqxjcRLQ3IepINWOsQNci9XA7g11GyjU+Q5GwXBf
lD62hDBp/d9thRF5Ow08E0Ptm68soTEzhEgX3iZYPA4NhbbZqnCmFIFW4Ldj9OWoiHYRsQ4wCUrh
3LsQYddrmzXTdYxz50ZfXhxtoVu4d/h11GAvvov4L/0PntN9DIewo7JsQWvOi1vDkznGjWrxcJRO
N176xdfB4rJYJ4vXAybMfMb2Vb3WhcIKUleNEW7k4hARUEeoqSZ/SoxvsZB0iljgPRS49nAupLin
4cnicuqLOl87TeXD7C4754BSiJQPVX1+oxWZeAeLzLAFlUrTAcefTE03/ruh5tlQWH9cQ7oc2ru+
2PbgR+7gGhprbVJO7q47Db3RtehL7xgjvJUqStjpYW9CLWnw3u+dCKVjU4aV++ZOPPG2czJBlfR6
aHbB2LJR8XRDzA5n2XQMcs701Ha71QPswvYTkhwXUlqb76FZRn+CVla/eGfip4ah5CZTl1BRPcEc
2MYE3d7Z6rBLijvMhyIpbFxBrMrvsL35KbOIrAOkHEbQBdv2OVQO2wMocOOaXVEGva1PIuQN25q2
9KqIXdIsm+Fytp8KVoqQ0cmRw2XNl2Y8yrfGX3VOeAhM+lChNVj+Z6PK6IdmLCdpo3T54GdZSgmn
H3pvPQmtlexA/1LzhHsqL9vmlVE3QwsttPdVxxwYV5XEKm9ZGtO/RyreXNdWbf0xmth6ps49f+vR
Ch690ZbvdAvCf4hgpRsoqERGQ2R9mhGtPqU3snDz59LD+Yqk7bFyrkNAogGAbyZ7nGP2LgaqjJ9E
k6XbeKMUGP3pw6YDQLAcj3qk+iicLWZ2ZR5omep7PECRftJDX48rPzSz88zW31qVBJrwNNPNRoA7
G4zbVE0Ud1opky+cE0yyplnCt/A4fvwyTVrpNuiF+WGuWU+xGU0kbem9kFAe4oVn0WFWWlWJSu5G
nkV30UqX7lTflbA5AEc+xqWy3/hI3RW4UHyWKCTeNnA8/Rx2drRxOGhtMWnkj+wlE6akxvNWlTfW
73aDbxtYvDlx+HW8T27mfKKqKgxiFNIi3Oyo3PCxmYQJiy+kOWp6CYGim7GbwnMy8kqNqj11oYcw
yCv0ocn3BbeFPqClE0Lw3F+HlvREZoLvXc9OBlU66H1RYUDxxUfcNhgYwo7g1tZkIwrxZTIToI6i
u3M0rF4V+QdiCkEvge0OhfM+5HP1uw5nsACgz7mlg6cnptQKHc7rKotm7KsKI/SRyU1IVuF2es2L
3IzuoJCHaOt4Pvshjj7Rvsns1j9NVBUumVuLbxcqZQw9sk6MrwH+ULCewkDT4SkK9lZFQwZuaGAb
Oja2vw0tz4Q+ArswnDUXjgbeQ6kknaElKIY1/bIwtYOSCjFvchv+E0hebEi16gjb0bOmWnZqGEyq
dSVU8MCVpD9lb1gPRqolTkOdn/q8T89zQpcezzkvO3gRRz0kn276kSuAkOuQ9s6r01JZvc0hr7xS
GgvYd8KVUq9s15G/y8LznsdUQPEnA5SvqANIK75yUn9PXQ9TCDN5tI6LBOAncZOrygdrxy/aU8tW
5j+KMtSnMFVlvMZulyPWZCGsrWI+5wLOgSG75iz56m3ZeRlfc5tcIWEHqw6ry7SakZp/UkCUXZ2g
awY2eAGYk9SOJf6XypXmIQgnEwmrU8EXZjRZrzqvTadLieuSbluvj36gsJl80Fis4IyMI3bsyuJ3
G9kRvwMe9V64/Vb3UQtvjzto+ih5Pl88EY4xkTVBcqiDI7uymhlsR2gulqk+IYS8Fh29TsAd05mv
IeV8n0PntndHGj1pu0DcTdm4fyAiwNJEO351+SL94vwaOPA2vXg3ltleODFqlCpbctuamozfc9xj
VHfrRrocTOkJXj408RiDtiQoZHVHCDRpdiF8Jz9cynC/SeXnEYS+GlcZQALFG5dEMyFugA/COc6j
09eI74F6n+BkffF0iR89CycSty0iVWSOsbFmm7KtDDx3dZPKG0RPcE5Oj/3/mMnChchqa2fT6A5T
OZoxXwJWlOxvk6+aarJr2Zc/+lxDxdbBCGcDa3ecgx3YMRhAs+laQ/bnKXK8Z2+2o2G9qDwwMDH2
s1UcDYhDvBPY3eBedZVBVCoX6lctWvtcRJ6CMiNRMGBXQKipKf29dI71QSapfgVZ6fyEtIFgL00u
M4zvDVXolmBIIJAo22+CuUmNqilxx4KNVDjFvTDYdWhB04r6gKDZRCTa+XbaQJVWw2BrLpo+75DT
FPj7BdpilOeud5wfQ1tzReVWUTAIZYDCHJPHnobsxhp8VjwuecBb30gVAfv8NAvfY130M4xOZ7yh
ioIgM6e837LgCpHXIhB6FxSo6USbivEzIATArpP4FKY5rcx15abtp133DRyRDk5SaHilt7abKfka
B5u7wH8j1FnsnJ8LVTnOIeyppedBNQ+vA1XSPIz/gtMmaL8E6P8C1VIynOHDZJv2k/kXuZYNNAKv
4jmrUVXtoj62npC/c9zJ6xGSq/LTbKNrVln2wm1zeyf6MYxCrVxjZmLTQQSWIm/KVW9Oei3ASrFP
KQKYOy0wuIm8xofpck51sdQ6hsAlxt4d+1K+c2IDIlMQY5/EDLomPC1u3UKWCz0Yc7mNfmC4E0zv
EUUCblaymhCJidsbxhblE6x8ozE6+oHDI7en/iBwSZbLTs1QcfNfPsCMH1yJ9vcQk4ggncxZVpfS
v0sC0JckAvTM35jJp9maYljRrR89G5OVP4hu4P3jS/E2OgO3KyqO52KvmmT6ETiqeWn+4vViVlgT
+9KwsTD/Vd03PejdLyfq2VRAMQITVqKfNuuc0823jU8PXIQRgeirSAWuykY4DwPxFfaSC6iU9g6Q
f2k80NyBvD98x4YcN9VcQ4uZuamgpwRVB6Zj4QUGYDgZKltcNYcOgAtltOk4nZwFMTj/pQ0SOycQ
nkZRiQYz2QiNQVFn15xpHpMruwCTeHqmtyHGlWc4KsZTiYa4naVNyw2KgMLYTWHPINSwxh3LntCt
u4FMRuEZpzQLep73EzoVF7HnU5zAcgd668QkyIMS0TzUeFPhb9H+zELdi2jmrWomJMOZeGulU75a
LbSACu4hGzSWPedxHnG/tw1Nvdg9muzHhMLfnCgEjv6AIwPuSNKIqagwckZEC1Bgi+dDlG9mZ2cv
A5T/3yIPy8MwTVhPO9pv3wtOxiWN0Dr5SpwyNHccY90bLnjQv7ZRkEgRf5GT4UKfxN49gUpChMT6
PgRk52m8EiOP4bJ+1GqgxL3NuQwRDWYGbLKmIVqQNu9CxrV1zhSq8W7SjokrQdurwcj+FHiR5BLi
j0AaWSxRV31u4BBxidcgrdGmXrb479ndDT4Y1VyZKPwFFxwWg/TYJq6+N3ZYYcpPET1cx+WY149V
so8BfR4HFbrV2iiT3x4uGHpyZEwhta9dBPDiDGnMXA11ecyFmK9jlL5Gs5dvWBJ529Ie9gVlm/u4
NNoNIXyxGoR3a/gC3PC+qy3wD/BCGQ7mUjJ+aAzvtOXINt1iZuZgAa5rE3VZB3l8MHcpGse+qK3i
cXDanCoAXW5ai6nRzqmKXZTcyckuJbI1QXTOInJi9TuNiXezfbfZFWWGDay0cEAN27BJh3vByvrN
LFhbcoOlUiTH20KPBMzQGERVD+KUDF0CmxxoCJmykQIet/PgOI3+MZCBQ0SgEiEKCRC0jR/UWBus
dFiVOlb0AemsuEbIB6e514OzLgMfXDU37z+qkfuaGunvaorSe9j37artgfuWRq9OMhL2Oxs4/E48
QNdsUzmcZagVrdMhpVZxELE57HVq3GdcUnI92tXIxBs11UuuW/MApwk5baC39sXOI+Oc0b2DmmBg
Avei/rWipvUz6ExC8sKc6K/qZNF82inHIAaAmDbjIkA23+skHWBZ4K3YtDGcF9oYq+y3YbX6Mlmw
31Z9hDa4SkYLG69VEeffZWQ/Vmmi/EcS3CrZkU/qdp079JxxzIrMYBdbcCVci0lhky7PzEpVUEjs
SnGjUoNNCTIzUnOiRoHbTstL+2g9B5jV2OGw24zACgJu/2J2Dy7JEGdHFqiAAl02DtKh7OxuRVGZ
99nKwfpTuTByNo7w02mjGuUf/d4f/UNeDw2M4iJiiB7szPujQpsSUDY5Z9b0wxUO2yzXJqomOWgL
rV3nDpwIJ6zjR9YC5aHtbPuJvEBPAFrh8N4Eyhs2Ie3KkEsxgzQrlE689THhI0xDfz33wEvMC/CS
Cvl68eS3f/35lJq2v+g3wrX//62v/0slhB7XFbck0sP/9Y70taWT+CuNvorf/2J+/fc/+x/mV9PB
wMr/63lsGP4HSoFk50kYF2lZWkriSv3nntS2/uGQRBZLgtnC0uXwQtBvlxZCGAX8C+X5MAw4mi5/
6n8jkexJnLf/KZNs2TY/nkMHjFyybua/+NDJqlTatT2xDxM3z/Yyw/G5Nl1USz+Q7hdNXeLRoq1m
VUOjAc4+8z0x4d2Kne3QKzW4kngnZEis3BxpcACCcqxeu7nYFAQY1pKlzCby6uzIDQiYFMGro5nE
ODiSNjRioFPFAulU7nw0JrqJ1opTylMAfWBXMIjfBFSsVcam9pAUHa8Cy1W0Srxu3JrpcDCKSv/h
yT2tW5lSdg3V0aeQxlJXs+1iKvag2U6CMhwObBgbUeu23PDjbdMm6pzYFmVpnDvYq6BdRInt/04Q
ZKDzkTTbWU3g7CHgmM9yjuNbCn5lzycjmfNGBA4IS3AIrZgBGfMCnaqyIFGWhUu0VOivTFm8UJat
yT5XtcMJsufOtqbTSawst1OPA+vLjVdX5b1XDtIvDK6rk5oXZ+a245sPc4naldIvPQOm4+R0xmPx
GNF9s3adbsHhPoDzJyjoyHa3PM5mqLw8YZORri/6lgA0GjmuATUOdDOlFOS1LgdWELg9N0DLiR9h
kJ41j/pVpXJ2pYULLFeVeHciojOsgH2MvBgxRfmFX396mLQOPv1kdI/JrKo7qlRXrmdheC8AiuqT
TqYGWqVhPoxAUrDwtDbivWpTE3e/lVL3NcpDj+XhAH62f+1t17NWVeimEDrnHhwgLhRTKuNYitr4
1dhtsO5SbOErrjQ23MUgfwyZJ87kJtgthZG9ZsvuTmx78vh37A16a3JVHvyoJHBSQufaU7BUfPZI
GDdZKuZA4u8/dVV+tGqSH74/S9A6RfqUp05/bybpvZUxp4oKE9eliGt5SbIONpIFklI34yUox/DS
mxgtSPEbBx8k6D4IHfEoDTBb4K5z8utOyhXtpg3TXtAR9Y3Sh2x0luhdKkZQpjnZ5lmXoGSsRL61
RMvEuvGH6Ih+PD2PcTgec57Vd2EtfRAMS/2X7arhFKR0U9i0ZO77dG4/B1JWl4Cx8+BL035hkGRt
pYZyuNlGoj8zjpkafM3c1HA2Dbe++iapQNA9uaE39KE2bIdTY5vaA704waAqMGvpuC9mgx9T4I68
956XU3BrYFBtDD6KOh3hLTbUQFIHiuB+nkOornZD4aRMAMgZMUk+bheWw4FAxNckcuFcsfS6w7pq
Lz1opftoETBfEf2env25tE5O2gLZdmqLVaAvwpvZTtB1hJWIHZ0HzTYeIQyh+UnjTNcDdQU07zJz
YV9JbmK2iwdGeOrCNFVkLcQw3INWhsPOGQ/yb2dZS0LkEZNHcEPEqS6kUqN1X7UjkNql8kz9bT/z
lyI0kWB3kuXkXWBxjmc8qdHeXKrTUFmHhyjP8k+3ypZmNbi5Nkvx1+pv7xqqb/Bi6Vz85PRe7oOh
9hFuav3sFtW4iZf6tpjN454xl+/WtNS7BWE2PKql8m1y3WEp/KIIrvKXTjGoScixB2Mpi5NlH11S
2h0PmJf7U4v+ebc8P7/HELPeaoO9ormUzw12BeRgHktxCGZlPMupE7e+Ee6bBSQb4aQakjP1LIwS
raSycym5w/9hfxcpfvTSGqo3tyRRblSjfouXgjzofx0wuKU2j823t0sc39qLpVTPXOr1+qVor3Y0
nXtGQ/0erW3BLmJ9bKxsNN5jSSz8EuYg/qalvE8tNX5WomfKrRLrmOjOfy+QjHZ1I7qn2tfBnf8Z
HKulFhAtJ9/jlI52rSjqq/Ca7tovRYLM8f2Oo03+KbrY//QVXRfdUj2I3gGmf6kjTBOv3ea9pq1F
GRAL9FJcaP3tMHSzNIK6S7FhBTB5Myxlh1TE5feqBkaa0IQo9KjYSTMukjXD49DS+VV+VvZMf+LU
yScmtnW4VCuqSIYvbED7P2ANh42n6fdpNQkEzvACN7M3cRLFwhhBo9LOMCCOs7pZt/gULyzzW9bA
GL91V4ZrTl98I01RHNwkVquFoefY73rSJ5fFyYMFoDkPFdk5LL+jofWBW/XWIh+9zpEcDliW9LYl
yL+2yCjgj9Xt4qJHk81OKTwhssWqJXiSEK6mxpOKmbRNsmPUJcvvghtrq3HqwNvUnyZeElqscFat
mZxHKBymOzzrxY1BSHneinpwdwVumSfb0C4587D0DyOD+jZXCsFjGn0SDE9yhhGW5V1zp5en+ll1
dgrPVVQ/a0Uifax4ewqu+RfOwvhVx8p54KBhb7DnVBurKaYzut2+tef54PXjvC8GkZEAC36nPLSy
nET6KJvDkGfMygVeKKbj1sHa4ZJa4JBQsvkx7CdIdt3JSUrz2Zn6RuH3TsZbJIupXYF96eyVi899
4xUjMfEuhp8hTON7DLR3wket3/h+0L2piBPY2DN5zHTl77wFiahERR4Xf9qXjmAQm1FxD1JLr7Js
mrdhnwfPfAA576lY8giswr6UmNqt09TR1QrHBKrxhJO5Ga19Zc7lPYOveWniOMeWavbbPgorc20a
fV/tBkF3mPBadFcCfP53btj4bQ3D3w1p6tQrbWtvFYdqiLfo2Z6z9/BLHwunMJ5kmIYx6ECnP1AZ
0LGmbgov22P9K5+YL+LiIcNMFLGSySKKYvh7o6OJ5UNtRF0nw80fR30iyJE9Bq0d/8m540zIhuTt
YXnjdMZy/2rnebJNGHfXKsVLjzMv243g8SnxSqV9yAOw83aC/mCUsflvzJ3JctxIl6Vfpa33+A2T
Y1j0JuZgBBkMTiK1gVGihBlwd8x4+v7Av6xLqczKtNqU9SZNKRMZEQjA3e+953xn6yxIPYUs9oCk
3d4C7JUPoB4uBnOdCs0ML9gcdT3Wm27sySwwIcy1HC3Wjcph4jTD+DGk4/iT6vijATz41S/6d0/2
5CgJN64voRF7B0gPsExg/60r+gRn31kieKTZY/q0iZqIGBj7S3NrKNieGpovN44Knux5KE8NWhfc
OAa1l65oqzL7WSHFjjeiENUuaUCloMMcLhDiUPHVg/HY5mW7H4QFyNSuvFuP3MyPAOXtjmc0RrfN
eNCPu/KJiBnvNnXwcZhlMu7xQbY7IyuttQd05jGmPXTGV0Muc2bP2Ua4LdB9uw9jpjL+Inhs46Me
ffXNyphtB4aM7kuareD+aqAoLFG04zJx19UMz40icraxYgiMmalL10PA+DiBZUN5jw5/C9LCgLqc
Dv42icxkl7VY0ThdDQZ2ltpFA6/7raVH91COnvUI9IHYemlijjLs6CBwCe8ZclsvIDvJJrcb55B7
/XBMi6i+98FakrjlzXg70NmmryIlHUENuaRr7bQbMN/xxQXUuQog87yw0dFk8zRuZlzi9tYdgvwm
tcrg4EctUudYVj9pSge3CDiK5z6vyr3XYq0DWGEf5twVx1BN7m5xyZBIKy3A+FHIVjOhleU0ADUU
ANkZE99VmM2OcypedX/OtkGhvxhRvVGDm9z1k/FW9UOyyMrEM3DGZXBIqkpaU7RIWlPMpczxhuSB
xR1blQDNXIj6Hb4qHB8lMjJuDBxMZVsMD8SReU8mAmg4F23EJ6B/hqU2uvmlsvwLu7DtLk7ZX520
v9dpmCF/NewaQTBnUF2Swzh0xcpwBDqWPvRvCJhMd7bI6gXiYTwTozE+BZYVvpIkLi92MsenYLLV
W5QOZA70HPDpUdvkJnSTfBodUqRMYQCt8fOUtlVo3JP0ayc8tKm9tPEYIK5Ddwlji+z0lRmiYXCo
qfp1ZLfVXva+C5MzPwWgBb7HXo0w3hjrC6E2zQFY9kunGmDUrRRQgUPr1e46/9RaxJdmiigBHGk8
tDlgZpdU0F0hHC02pQrmo8Zs9JWTerwXNgFcVja8172479ru0eWEwqSvygkJtqcNacjTte+qM3EF
8zntEVigMyzgZ1s6RPjRJ4m3K0aNtWOxmnyQCUKApuHGLZt7yaEQX7tVf8HVX9gbmTLZX+nE689o
xadjojjtooaxvSvI2f7SFHNm7EaWg1s6bvYP0ZnpB/GE/Ua6Bs3nNrEf4PJP4QrjDNnznmNu66n3
Tm7bGQeBj2HTZDODKjvo0pkwKnP80Tfja5PMald1It25uix2YlTFrgdbtfKkoE2t5/Q2GkTAoJXO
HIIbMc+LahPlvTWnl5lMkR1R2PZNRP16j8+OLBEHaekDD3pIXuI4HO3a7Y+zyQkbMQ0Nw6TlKFgO
w0hoNKIVrHUBHqRAkfrKwNaoz3hEskv/eeQuPo/fCLqME7swh3Iot82WC2nvTGr5YmUOSXJxlpO8
83moD5bzvfV50qcbOrI+cP4fjKA9h0tNgP0hXAJ507uOaT9heDGKnCZjACuZlz0RSV6f9Get4XEy
YzFaShDnsxrplsKkXEoUMoGpVqKlcBk0vpzSGzBgJFOotk6njC2hsAApPkue4LP8sXwNI6tV/rgO
tGfdjCiBt/gLmLXpnBs3RKlEH9/y32UFQzaEtIEYo2c4ivxpP4EdnFnEqLdQcj5K7YLVMuSDYafp
gflOfXYMWT8whKNBm3JSNiaQqCvG6jNi8kqdMBUw39Nw1xh2ApZI0M1C5+F7QFxhWot5AfVM4Dj3
YTD4L4rvYFqZS8mYL8UjllvqyDzTOQF2LZ0Ciky3WkhPn5Wn91mFhktBKi0n36ulSO2WcrWzvPis
qGDlUsqmS1FbLuUtb3IpdCl59VL8FksZ7C0FcbCUxsKIA2Bk6m1ssvwbIBpUbEspDXS4+lot5XXw
WWnPS9GdLOV3uBTixCBRkxdLeV4uhXq/lOztUryPSxnfflb0einuq6XMn5eCP2ORLiO0q22/WP+7
z85AvjQJuqVdIJbGgd124ebvV1QLG/tfLKicDe2la+OLRcj3CwEhBPw7ueMU7JlrPs6vzqt6N17V
w3DXXNMVHgmjuPv7V3R/x/+xhMNaAEnqugSXmZ/SwV9ecaBfUHr4t9GfB9E34m9T5NJuNt3lYzrb
8N5qedKTIu8VAGjyzYJvi1cA4eJsCcIGUFtHuypjUEYVzQFxOwOCR6NVI6zbzyIyvjSou59w1LNy
e1U9WGtgI0G+RVqgD6Oq1dkpdX6DimE8sjHzuNEdWHl+gA15Dva09mNq5zLbFa6ldlODiYd++vyV
NOjo2AxRcexx2OxbMtefy3SAdNJW+TUp+/hkF501n3rOd49J6M3v7kAwwKYYmHRkY6pf3NhZHsfS
Lr78w0Vd9JR/2Bdd0gNBrHp0UV3El78pPRtwi9R6ythPbeDeVHl6bG0GQgK50da2Kbfs0BH3ptsC
BbUWj4FIO0HCpm+9NUGSVGsGrPHH1HfDTVm408kIrOY+oCn7yvmufnECeWY012yh6c04VpzhQZfE
nqyAmuc8mpmDP8efcvzF9A6YcOIo3Xix4d80QVwRYTHxrojw6TkgR3P1rueO8OOy9Ziwzct+lH9u
TdnnNgXwjC3L/dy+kmUnC5c97fOC/Y/RLP4/VDP7Id0Yhxvjv+7V77uMXn37a5/+//3Uf+iZ3X8R
++f8J6GC3/dvPbMX/MsKhemYtsVIwHZcVor/6NPb7r98yxZ06AHkiAVf8Z99evNfdPUd4i1c2+a8
Zf23IgqXxejXuxyVNSQ6E+l0aHFr+r+hhEM77b2G2ey2FYCCV/M8TV8Sm6j5Xy7K/b9/4f9iHntf
p1Xb/J//vRwi//gyALtYD73Q92w+128v03imlw0xgQceboSvPdFpOwhZMeSDNkfFWcr+3wOm/xJL
ajHI+NMregv/wzSJN7YWxscfVmFgAwFhr97Wt0a6zrKke7KGmUVzAlIiFkevTB8DYmoPbcQ6hbbM
ALVeEq09OdbeVGF20xDUQYxQb2/tuctuwqkYbmEAzmdrzOXt318g63dSCKAyZii2C1E9NP0/reEZ
ksxpGCsfe2JdYgOb8jVFI//NGcdD04sCmv4+I3IiED50bc4fMAqGF/x0ZARjDf4ZwxZ8ruqxvYnH
uf7592/P/vN9wttjosMeAwXXDpbV8pctxg+VKTPsR9vOosOSzlZOlje00o3fDMmJkSQGDhAE9alo
HUYohklYQEy6HO85ONA58L/YCH0u05gwgZZHMzGuY2wJBvz9MngBKZW/OUyl9n3k6vuCRMFvHULw
PZRP+fD3n+VP2+VyqQOfR8h2HJzNC8r3188SgF9niuOIreyK5DwJzRQZfVi8GSW2+kGnHcJx4DBb
o26GD5xL8BcKpNP5qipBSUPzM67kq7dvntsjB7Es8Bq5IV5HKwdcKm59zfCG4Kce4YARX1BT9ce2
hoGn4+xNCoVyOBKvoWidu9bo1hUugmBK+4OcvPKY6wJEXlmps0ucDLV7MuAsZlOlHQrjYJXhfkB7
ELjQUwaHUD8z+Qg8pJrYcRx5Ep6ab1sICjGqXXT2ujRxyGS2Ebabeh6z17+/lp8P7m8PNkdT4ToI
tCyHMeQfr6X0SW8WzSS2Fvkcl9rMK0beg3kOUPgyofxpZMN4Ac0HM6/kyF0ekAoMPxnb6W+uVO2t
ioe+XNkKbS7ZY8WGhvSAP6HyLQpDR97XSd0c+r6JxxPi4ukjhNX52MmoPoXFaLxyJI3PkhEVjU8U
NCvMCOM5yLts13ae+Q83Divrn9YUnsxlS2B8KngUfvuwAY4rf3kI8Dn1dzEnUdJz4A8cJcv6vTF5
4U5ZZP1FVjFftQrikyMFw0tgQ/JgzZincI1MP/QQm9///nv4i/U1cLmvl0GwB9Dot2FrEaOlK8Qg
tkNgi7Wj659JPx3RsY4bf+z/oWfwF5cBvBdDZLjWAb26paPwy1pQsz8MwdSKLR5a/9WsJzS7fZdd
/v4j/cWC+IdX+e0pBSCTeg11O5ODNP1hEmJAKEoFJZaQy2n396/1+wGaK7fgswkls0FTufZvl49b
MpOSQmlbCcc+OUY5f8yeItRGO+aDPUJdws0BoAGVtlndo+nTm79/A39xSUPX5wgPLkS4/PG3S2oM
QqqEnJqi9fsXa1AuitzZ/4dd2F5+za9PK0A4Dg5CBCzhthl8zux/+eZsltyFUeRhr9APkjnLujSn
PYa961g+1WF6ISBn7YzDxwjPvksK4zJbOBbYTwDKOsO0CbuuWbeJW1+9Rg77xcsBXfahsSVmwykx
tzKF8WBC65X4/pYIt1nTDVA/MgCpf3/Jfr8/MGIJ6h12SitkJVtoYr/ehTOpJKrzUOYptp111DHs
IAcy3sxebfzDt/Onywaefdn4kFdj+8J59seXSubILvyOcz8iBtAzU24cfHOGjKIJYHGaqDtwqf+x
jgwX/cYfvi7PRD6B22xZWX3B8eyPrztgR7JLa4i2UOueIFiRQ4YSH/3EOLw6qsaYYI3NgxGnRx0P
b35Ywe0dJvsdCAbhKmZCGg5QDj/wESR6942ElMzitsRGyD05v1QdUfoW2c1b3Vv7lBbwKghA2jQo
XslPRVPkD+ORLi+dFHR196E3yLUqcS+nE1XGAljGK4CigaAwcRvU6J0BUp6lbRQ7f6QPGkaAWh1Z
XjuVhKsKewgP0ANG0zWL/jF3g8fFiXqZvXdXzh8VpqhLNZMrVgkRvza10V0MxdSWMSMt6DlDb6wY
g+jGz/ZETlXgTXHNvxGFDLqaWipZh2PTf9hFqHEDgZqkHHLctzG1g11olk9S9vc62MN3XqUwL2GY
CdKxIhLvUiMuv/qCBLFVS6LjTqg8J5A2lIexwCxhEy15h4chv7dGL+rwoKqW6aPLnqs7+0fj0Fgu
S7/ZpVZsbegXwtkIrT7azgOeq03ELvU1b6phS94YFIoMGRa9eiFT1IFqgUNVXQcOaVZY/LWTuFfc
LmpNcuR2pM8X1uMB+/K8twsH7v1Tx0BjQp/WTnb4cxrQTQ/dk+q7H3j5xEtq1/kOkW65DYP+S5mo
m6YkS6jpWgKgmSW+qCxzrn2uSf+bZI0tnKqbCnoOV6GjrmWI1DfugluqRPfQSq1XSRfjWM+DkfaB
Qb6IRp+6t+ZC3Ld9UH4At2kuHSJtnOlJ/DPAgL+HzNwcTBXIa4Ne5bVSsvgypM4eV0RNvEg2Bvd1
XUoYvCQwQZkzE0FfB7oDQMrpuYjn9oqEtnuWuH3XytDTk5FEci9rI78zpIoP5H8bDzkHrTsGj8k6
M220JwgEeWVP3kWz0W3zAfJP5wbWuxEBSoOPLe5sLUnF5ds7zFnZXhFuftO9P33Llk840K/e66i/
J3h7P9dPqJuI0CunC2Tp2whc1x4qyHCsrbz+HkVW8oSfnzwQJiMcwAMMWCq3bgwG3JsWfvRmDvGe
I+4QV18NyV2u6nljysla15NmGGE2487o3emGCMLyUongR6LEW2WaES4Kq5YgOXCHffEbvz648YA+
ewKInDj0azq6ukdkuNWq0/EXLZsv5K90qMyFpen+WO1LHOTeAaZyuQ+dqd7i+MPCiQLkrEsa4ToE
6ZZpWey0EcQYmXhTlulVL+RXGrcp72ojrYh/nFcPrLDjAW/8cLRax9vyr+K9jTIravofjohPBdGd
BMSEXkWIlwMYKk34B0acPPYMELY9VCRUsQEijkbmWwyehNl107cmEPVDoQfvIpjNrHgGZ3IK0/5Y
lOJ+lqZz7ZKS78TuaqxyzcDwFVIfDxX0oSQcAKmT2zzSoTr7dDhWORPEVTwhHhfYNZ9bGHr8nZxP
pqn4gLVq1qS+ZTvI1CCTPIUSy0qy9wZww7mPxXCHkLm4iqkeblthlFtDasRNSKxwILwRpNDsSLCu
NoT9KtZVvYEKgeSToMi7RZewmozR/g65t1shfMk2KiRynoxjdU9UGbk7EaWdt3NK98WJlFioA5ne
0iHaWH5+wWjSPcQRY2oQip3THOc8eyIwp+ITy/zqmCMhs1Nqf5jzWDzIPuOkH0A+3WeN7TOInqts
M2rvgmHH3VSSjFo1Oo9WBEWncu1V10XYb/0OEY7stqG2v1W9OiWW2BRuDhkWJ2Va9e5+kCj1tGE+
1jkYk2TsbyvRR+ehA8O2EqZsXtu5tDZSDRXIJMozFLNR6e8msFJU17Nm+tLGgFOcLfTj+K6bwTG3
Nq3CZHDoQfo1E1hD6Q6JbVihoSeMbueF5N7WQ3TDsaPe17CAT7Vj9Peo3xRE66o6J3Utb4TX1A+u
p65JjrsR5LDxnrq6fp+1me+tyE9foipwCXV1U7gJ2nnlXUM8Q+Z1V4Ge3YdjMO8TTybvIVbAG4TN
3QrJWvOg7QlRYSnDQ592GKHajHKwmAidwKp1lI7AVjUJZlg6N2+LQXa7VrF4Z6m+autnntBHWHn0
45+C1q/WDaLje5u55YOHweskgT2RDog6xnSdaesWbfSlIkP+Ff7Tkr5RWA9jrNS+Ei57YWJnexet
xdelMbrGMqp2vQr8VxmbCJuTsAZjFbPdJtM9lkIgBrkT39PZaZncdvV5AKZ/avtGnCOnE4xje/PJ
NpP0Cm7SOTLvDs4kQDHmDbP4ti8D/gQQ8U752YcsVfaUCMZxi4ga56raqq75FpQi2VUF58WVjxQq
W4VJYuUMsTn34/2ajo2LSc3QN7K7CDPdlo1XXYYCx1Esx6BFIeQh3+oCUCjKqx/aORXEOqry1bdx
QRqG+zJFroDLYbL9KdBkqLBhb6Dqyvb0uoGiul55Q0Sixxrm6h1OsmUKS2Sgb2j1aOC+wfVNlka/
85moHhWcoZ05ue6qsFS9md2SGz9qNY6qETXDERTmfKwC80vgtv59wM+vcDMZ1yqE8zCn6sNr0HTi
UEa94BS6eqx0d4dl6OA37s8qWEx7c3wv8tDbjFOfb3A+ZiBiuM6xn4o1yYD4Enz3toklTGKyCQPS
wzWAHkmDYPocBhIdY4XdpW1J86TE9HBwFDTLQ3h4kDmaXt8RPBa9+Nq3HsqyNW/tdpA3gEXH23Ec
m49GpPg9eoVzZqh4M4bpYqkbzfB7kCbVTZ7iRbUTfs6KAmOjvQr1e8qhbxeJpZvMujC922Hjn0t8
VNjPnRq1TuhXD7LyK0aSWf+DxrrXrTC5yFOcBP2+qSXBxr6VWs9GxJkkIxsEfZdgv+5p/xDGCfB7
7+JxZqvsVISlx+r48ouQY+RQxvtJObCdmkh5AIIS+LA4v4qXWoTjq/bnIkYDidMP0n4SRdsMc623
UnUW3uVJ3u/s3Bg2DsUQ2SmRId5ixRbky6h48+zO34fCwDaVD2SwDkMZ4oNWkjdvergtQpgq214a
ahH5GvNlhMPOkQmf6AVPAyjcPnuAxv7N9bMvBKAgTk0mmDJxFB+6bn7tZpsHekaLyDhWHzp431sA
eHjblu3GZOzD6VbPamkRjZuq9NQGO3Z3trHM7ZKoS3a+A1i8NHziN3QZjQTMDruodPB1F+GO3RUQ
o7O4kJupyk4Gka0v1Tifuuhjdv2HYLCfyCR9t1RyZFb9Fenna2LjaisR315VbwaHxqx8PCGlD147
yNtNUaflBsldQxw9SW53pYmI1xfhfCgLg3RNv2D4ngWiug2Fbh+NJscCjs0ZnJS0u7u8SmNELKAn
MNRVTM95Cx1xDiK+FuH4GI2lg6ukqt7GmXHSSg8mmhxzGH5AbGsfUaepPZwiY1tJ6R8qY4oXV1w+
fQAn7Wm+EoQYu0vobeXIPU9ygL9Y19cgzoZDb1rxW1W31kpbXbBl1o8SPA5vnCqXVy+n4bLMVxSU
21QeCfhBoqhTNp0g6B2FYgnrj1fP1Kxm2k6rLvLSn/zMEriAsXmjJsNjY/V04uJtabBsoWXecv5v
Ln5BjjvShSnfajssz/j5GFulXu3viiwhdDU0kR+mbu0AirANXLxh8GiMqHtXPk1DbERT/UbBbp5o
UdR7HdghD3cX7o3YwLQcEWaSoWwMy+qjpem4G53WfOcZhgThDNEBl+58b/Rmtx39sOAY3On66FSB
cWsmTgSIg/jo2wKY3AX0QbUVCSZwIqzq/QJF3qSOa51Q8j0XvXlj4zr8NndxujcTlTySAVE/zsJh
+i5JpIQnBfquDL0rwgbzK3Sj8KHLbfvW9s1oxa+Mvy9L4Vc8Y8ljN5QKT56VWyedAdeSmRE++3Pb
Pvl5mIebrk2/s7AUd0k/jM+DSf75JiUDdGeppvpKaIziMyT5ISF14QxELr6z5ljBXx3rmzqDaybj
roVIQkBvbdjxl1R20QWPEgoZqJCnAWb0CWpH86UMU2dG0xgWe848RJso8EafgckH1fs4kugypGhS
4/4ld+kMjsj8b+qwb8KVVw/NFVmpTztl1tOh4rx2gmjn/RgsRfjRnFXp1eFWvaogm6pkZQy2fRQ+
9XFSUE0eiCGtCMhhiL1TWVAdgEdlXxpIh28qc02wSSaDg1WtZixhHM6zZ7zu4cYOJoJk0UKjgy5L
CpsgLs2zSsjuNjyT0GEI2QfAh0hcHUtSBib6nm0yAzeJnoqnRJG+gx7gxcBW+2ykRoHlOhAbJWd8
Wapq73J/vPpR4HPz93l3kHwEA5k94ib+1/UwQ4Fz2OZT4JOnBtpooLYKBLHpMShIlPQks5LGsVZh
3OA6tGiYorMAKRWn6nsho3Hbz719sfAvU95z4AGjZfTvIomyt0oYFQxaJDb9uq4Ywz44SdLuC+Vw
2DXmqVOn2sX7quPpgQ9KC11qdAoDqsw9m/q0H32vPOSOYTovZRQ1P3s7Kyit6RxWsFXLRYjekQh0
CicEXEhcLH/aFBM47w0nacO4mAJ23AnpcDFsRyFeu5LsMDkHzkMxO+EhNVI1rcq+bkFweCrDQwA9
K9hSZyKzU4NiKZjnjklqnobJrqyAhbQ1PC2BxVNup0ZP9pn2HiAoLyXzF8J2NsNEU8ZxRAx6mzth
85xCxlgPhunhJ/Sp04xg/DnLcC5pAwNNnpEffhOWRGcHN0GsYZyx/JtD75zBzs1fbFLYfib0gW7N
WRgffHT11kVDg7UMWt0NWyHLAN8NaTFTVwb6jqzx6a6pwU/gvZ6R7ojePNMNi1nPe0AYm94p0oWJ
IC9pH5p3tSkymBMN5aI/qOBbhqyD7joL9xdlYV/eBs5wIvQ7qNcDaReEcw2efGsWyVSBIOCVkRLP
VV8sIfVp/Vj1UXCGtBznOyNwvhU2DaihSUBUugxP6GfuyY+4ySHAc7Fpga1Q+scPKdnxT2OHX8Qx
ZXySSWBdcjJ0aXzoTiMy6qtmN6HsPE6lsrfSSDUSa2SyXwgEJdOX7esFwelCUgwgd/JJrOZGz1n+
XnNc2g5D3R54VOOTQu9+L5vMgAaTt4Q9jbYBXKwdIWiux3HCzy5wlq/dsZ9vM8uiMKAa/mYLFRzp
riIu6McfjdX/0I3xbFICrIostY44A8ZNUDtQKQaWUIQp3YuWcXwThDI8Z26c/ughkaQEZafTHZ0t
doaSg/WSiOVDwoOxv5UatDJiZOMHNgyQGszWfqKeH5rvy0tUsEQHIkvHxMUq6dmL7HTuU0p7j3Em
6hxncqFFYwlwF1Yp9BNK8PlFaE3UdT4P31JDgiLF9tBexsi/75NW3LaswYKPFW3SdgTjCQauO/VY
nY54O1uYitObyW8hx90Q7obCJEcCOY24l+Ng3Ohp/hp09OHifVi6b74OhoupfOe14aPfEOUK+COs
2iMzrnpLd8l5YXdau6jR5lUWTeLOsMZhzVmGgB7ACxtlzbdJVapT6Gk0fa2SHxNiua0oOwSvklrX
GMnTc9SAZieqkNIiIOQ5MCyY+Bxp45VksxoAN7AltwiVABDOxr42G+AV2kOlHXe2vGtso9qZrvaP
tY+DGXVcbD1KZFjfaWXglyW6ihQ0xNrH2Woeykgn95ZNXzA0GrT1XufcRhFm2oz7cPIm5PNBABGQ
bxzN2my7DF3RTK26JDzVffg6GI7/gnnYQ/av5ToPZovWbDmiFezimy7znNug7zxQPKl67S0vO5E1
WK45HMitPfYDmTwKo2YYDrcjAlWS20xj2oakVVIDUV9d/Ymq2O2H/qSJZfse65kNuACV6wjGaGQd
Vs+4H/KnOO5mAPyx/8K8vqYkSiMYrm6nnG0AwGhdeJnlbNyqXZJl0dE5srAf26kKqWdTQAbuQjOd
cZdJxwnWetDZIozuq7VbcauE7ggsfOAsuWebzghv8k10Z9hGkk2YII73kB5+ZRmFTO6RKxCSUzFw
tMcMDZ2p47KAQlSy3DWp3z20FnCfguM9/nvaIwNlF9pdUuoG45oWU3an6jq6CeDw7ZMaBs0wCO88
upUiw9KqdoFaZMxoGW/HBsCYjjJ5n471fVM6zjM6/lWl7a9p7b2HxO2CMvbGlDwNTBpeMpcNFA5v
ja7o1usicSDs0nyQtXDWeFWCm3IaQPw1+VOVhJjnMNj+VCDYHn3tuk8dMXjHlCPI1lD9Y4Sem0Xa
Gx4GkKuHrhD53chOiiSiwr6UdQ8gFGOQHmW5b1rt7eySLjMNXecWxE63F55sdwh9gdkPrPkBSfVm
XBj7MSqPfaH9fedyG2VJ+7OlWvmYgKiQBzCuuwlG0iiAJ/ZMvvJUlkfTrout0lW+9xME7XBA25o7
3AFZ4MzJU9t1u5l5rKMqvmNmXVtzar67TTmfYogel6BrNc59MrkgD7GSVvSf9m5kdrsajC327dYO
tra4KHJJoXrmgGu0aLpdNvmYT1pGy3CFVHEKwBDM0tiGWXVHsl/3VoYwmwMj3hO+YR1JnltMxIV3
7Uy9rhvvbM94kCT1HZFE7kmr5ELvl+wHvDl1kl1rA8B8AhyfpYly2B7KkXZ+P51ogD3noUtbwfTX
DB4QnBOqEPedPGJPPMUVYdGtHosP1H+YRR39dZ7jMyncqCDjtCaS2rJBjDDbt9kODLGTghJoFunR
t6dGrupQgWhvKyZZHD38kzDGnNRcCmSvmHzInqLaBlaZ0aSknBBWOH4lqMM7QRJyN07tUbTjgkH1
C2gao0S/ITz7G1l47qOn4qpDL2pjFQeT6e3cKWsPxTRJl15LndwIg4ihvQO5+033lhG/R/wFj6eW
+LWd0HpyXBAXeoA5DCu13+Y8t3JNLb2dCW4gnS+UtDJ0Ol3h8UaPSmIvT7uwDvc+pN4lPSsOlH2j
BBp97HXDMB0Ao6XvkAHYFf2MW0pjeM+ejHTOGDmSuhi+x2nEQmwJB4+5goF28jDMhRh0PWvA3pjl
1zD2hUOebUAc1tQxH2FAm50LgSt3zsdxPSibniiCxFUXsx96eIaW9TT0SJHR6UM29Plj14KhIJJv
qPZONtPThPQJxsVLPf8NWHz3PtU2GjY/zzE8hR2cpZBzc0Ndhy5xLHbzTM5ioCYL/65gu8crSTci
jXuqxUiiLgkM/UqjWG8ze9CMMFv/xvcEPXwDi63bClar4s4zodajQ7jgLDk2pXxPTAh7zLkugv09
rgFxG/GpyVrj0bXgaGGyr+Kr4EByyx2XvEVEilIRqxWOffPsT9YHXNRuE0/QuIpepUyXJkR5GWTg
Mvzax/2DUOOrGzUjlqaIY0Y2O+o4EkYcg3Pfu5Wu70IANWtPc6ODRZ0QDtuLyMbqHti7K3bInC5Z
VshySxlApdoa7hivirkvf8zEjKH7dBqwyTh3yL1a4cigZnJ7mP/oWCIcgc3wGNZV+xx3EBXH1KFJ
XeDkzBAwmEV+2zhGtLVG39pgM6ZJ0dRR9Eq9UJpbVGlq4+fOfOxrp/2aWhkINu1N42luSVhcEw+Q
cfBNGQurlk237GKWvGSNaBu4TBweJtPqNialjs36U5KGWVTiUZGsykGL/mlqGgxHRPbWxIa1n3pW
3EXrfJvWAn59NM6vk0/VVq4ZZdHZwFyRXjyN02mwnCsYuSjeNa0zfZVmmh86Tse3bth6r5OaLZpf
jPU4Es1ku2UTLuixMGBV+FhqiGfwDczUTRxdHFpD36lNqULmLLoDP1XRqOD6cSWNxLe2kbCwj0Q6
BQClca/Y66G0yLgJoYckTZ8/l+R06k4OO1EOLy1kfq5g/MwAeS8x6h8KZknbbtbN2pwmIFFCC3rc
mUFuICNF1pX0ua39AsWIpDLpudFWBXEuP6s5vZPKxziRTpjF9aYaiNOAv8yWTSN/PQcpHfhEbhPb
6TcNShsgfbaMd+FUkmFZo4aBwibSbyQECYmoUQ6Hkvrz1axCequeq44is9UHyUYmOiibG2RINRyu
UoX9YyHAv6yV1eaHHMk+zbXZP/tJUD7bo9fofUezLlybbjzzvoCO9ZUXXxPyLFsfW3nTy/SGyQkj
B7wQh1GHRbnRZkdcg1sO88M8ptUB4dkAYjIJ7EOQmwUszLpjnAAk5RXYePodBau1rhDXPHoEBdIn
HmV6ErPLEib8/r7FrrPq7YhCrrYhiqS2pGRStXvUdu9W/5e6M12RHUuz7Kv0A5QuOpoFTf0w2Wzm
5tP16f4RPl1JR9ORjuan72WZkd0RCV1NQhdUQRAQED5LZ9jf3mtHHnDry8g55jjMMbicXiuHaVo6
zWCCipqXvTMtUHkdv/LIsPrnXNP9QjQm2GTe0O7GQEiOddbB82H2r8bU3bkE3IBme50FvAjaUko+
ibwGgOf7Sn1pmRnfwOsMQlW9cc6vJ95xsbIH/Hr1xQ5BuNRlIe/ksni0UEn7LkQOenZSy6eHggrP
YFiAyrrgjuBtYy7O6ylypGTdqqz8jM/J4Vg2cHamYeHEijtFVOwE255VeufZOXP/ur1OxppYvBTI
DUdyJ/QO5iFkMigJD/1C00suavdTEJ6KV6h6bB65nGDvQz2GPW7IqEj7cY2GZK+he/UrRRfiawse
+1HwfN6nSvAoJZRSjc5SP7hYtSDLWF7EzqPXkkUWgWpwDmaDmR/m7Jytad0oH7NS5btee91LE7PW
1abNQH+scLatZlPyE19JR0NUVBATVOJ3dOrU6aeDj/aNgpbslpqRZs040YgsjIorECsudIdwiChg
9fhNFaRvK3s+pUbAlpOQ70Egrpvg3RgJaAXzdzL49o0b2nc8UKj1qElRWXTyLqVIoV8DCrzeHJy0
nC7hwuh6p7j19ruaxTON0lYPex7rhuOjjWQ6kvQ5UOyWPPmNqak2gVBjruuwALZr8JvFMrCE52oQ
JN78sv20QFjaaO6xb3e3DRCrQ2VOfkRuHioWiWrsMylW/vsEseiRpyt7ySslXkcLBgwRsmSTwMHb
xnW83GLFp0PJvyIbKeFh7AyK4BXXZfeULxbCVFDS9CEXca0OsSAnEKr9DhNSmdCu8w1u+vmxCRt1
rqA5EvOxi43nt/pYTSagpcUcLMYv4m+3ZHoswaGdDFClayspiqM7J9f4VUi6gj0EZgIk162GkndB
aOkO1A8Y73mSeM+25qBNSXO510ZKs7Lnp7spk9lWdN6msKb+ywgbi7o5KxYr3xq9IkpFdo6Xcbrj
iSw4UjvtW+0N8tMOC7R0gKGPPgXPIxUePaLOzPgYBwPgVyi3k+TfOSrJTzCTtG8y3AigigydfhRT
qUm31I17MYOK6PssqNFyDVL+lAxk+yZLmaDTUHYHI4xUiuGVlD2JtNgor8OjIsCF+KH0f8aDbV1S
VXMQIVZ/bAsLRnHIq6cSzRAzWIqntC2xkNBbxBS0vjFq48mvjG8ba+fPUlG9Axk33hr1lF1PtfUQ
OVn2bBrtcDv3if8TCsjwYMwDwTt5PyK1bi0qPF7z2tN3rrCnVyMmQCgxopzsOgui3o/7V5aVVy8v
7JvZuJ4PrkgAO3fAWhTa3JGbKe+Sjkhn7A751zDElHiPlhm15UDGj1HBMcZgtedumBF9VlYHVdIn
FFn4utkNVKK8lUnTzitQQNZnaRucx7QyjVXBOfkkMzdZVyT49g1c3LX2/CVKVG8R579aI6o+YGlK
1KFUHrqP1+1a2yczD7uScgohXqkYrFlr+a6IOGeluEdszU7D0tlbNFvJZ6WaqQazeaA63r5TPgyH
MgTxbqT0DxIPwRRb/R7Ra7yJPaOI+2nHMZpmwdkm10xDuxnFWlb7xkM19oLkjXjGFy6lb1JdAQF8
f5vFYjv5WNQa7cmdaurv3MtrctLGrqK4bVWCeFT57KzJpJyTNjmPfv089Sw70+Kvp4LBkAHLhrlx
uuGVjXrhrIfMF0Bn1eOsxR7HEPVeQ0qHd1VELtmqlctUqFuNE4OsoEfuKcnWJ5axX0DWF7az7+V8
dhrU75kuywekLmevg4lami7Bj6yWjMtk38tf4IzbreEn8gbCTf5Ip5D30624MdZLhhRe1mL3b0tN
RwQ8gZjO8i55h73n3HAFNkmyJjkAtEw//c2c9/87DLL7ri/v5bf+n38Jf/z7X//zvwbZnvCCg8Xw
/54EeXjHMNIBbfpzFuSPj/ojCRL8ID/lhw4WenaXK5bpjyBI+MO5WjI99xo1coI/BUHsa9qDqltu
lP87I/IPYJP9w3SgtrOb2mYAguFfAjYF10jJX9yGSBtgXXDGw2WwaVn/p4xGbZLaqoxOb02yEaT7
44naJi4HPbeAsPYYnpPDXelp0IzkpaTmuPEsks2lkZcXTcKXVnorCVBVc3sL8ME+e02YZ3SeYYWI
/LFV3A8xszNF7rFOn8Ny2jJGYTKdN/7Y7WbMtiT7BgX5IGFhxinixDc96hQRaqzvhzTUqt30fUn/
lgfV8W0hwj+uWRKnZIMfqobkWzPbjswqTs7QN70Pu2m4gfvhuJuGMLhbKPS4acCYb0q15BFdbpij
mj5/GDCwfg5AG94pm6E4wixi76NEVCZZnMBbna1elqtrEWG6TRydfA0mg+OCHhuAqqYFKFqNfo7l
fSinR20iqWSz21qQh5r+jQt/DL9ynt4o0JjG1Qj+5UJYtjXXZUUOn0xdt3AEoHTYXBedYS9rTyZN
sRqI5oOTa697T8Lk9LZsRYNhT/Thm6qFnbybFWMKit9mgx5s/LAJ8nPbXjwHSSHoBBaxbkwRQjBU
GEet7QIuezn0C9yqcLBPwTDraqcrmIP42qoWZb/qX/oepMfKwqfAD5AXjrqOIksmYZX8sLs+Py/S
UdTUt85XKsT0FPYYhFY9ZVcV61lTHRVYTbzSaoSezxTpudRVsRuWAGRr6fZQ/Kq5AZNtLr37jLuw
e25ggAGQ4UgarprFqR/Ilspmw3cwPQ9jR7EL7uj7XGjZbuO5C/cpmOsd3qjkVRKMd2m2dDM/WGdV
z/k18Pvlpe/U0B45DQsDfWIyxJbwz2ztDWeQ764e2MLCmoLLk/BV1a7c1qz4m4mBEk4SRT91MzBJ
A5w349+AQzVEip7ImB0QZGoUzoF+5krFTtdjmXgDEhOcZUaPEV1HbUwrdReXigd2BsSgc4+2QNHS
MbQby7ptAPpIW226pkzytQlTcecAVT/rkpAtWOfgKZeMhEKY06jklUZBDodyuYtlZxdXzxD9toDR
9lnj2XciXbrTNJhpuys0PHbMJkH1BswqP/k+0xBm/IjhqjP9tajKwNi2vd0ds3hm3mZOVwwsA/UN
IA/vLUykABiD1wNGcm8kaq2GPhwRIq1i6zVWewjsqZPbuk37rVmb+DzGxbBnHFxd8uBw5ETsSWX4
ao5Z8yLNIvjwhgAMxDjQQMDlPuBcQqDJqYOXnrqmAirs6KzmTjjvvpt55m0CesPbcHPnoBdORX/b
UGs1A2LsnWM7OAwlFyhjEiyZ6l/dOtUfqUxwBBf+HBQcKya2RytfekASM8Yt6LkmXzk2B3SxmBFG
eqJvfUQCQJeGUYPCNlDQHsLrnrAhmpsst0k/NxlwphkCpFhbygKjFAYiTld1HPCap9CkKMszQ6oM
FA/se+0Y2XtuKCPeW2FafM1NL2i+SOxzxRu+0FGv08/W8+qLj0+JKmOqENKwx69oxbbz2falJP3j
ew7YVy9rLwnx+1/GgqtQMi3El1mHVJvJ5IknSkYefUybuGoXum5dIPN5PxeXBsrjGLUmByUYMYm1
c0VXhRxrh0/ZOhMufYBdczqXmyqdSIT0UkAZLzsxeOek8JZHFhu3pK4ManggjeBiJTwQW89v2qMG
uvqazTauZ/Dq3NDonDVeGnPCMsLE8Td0cm7BgVT9glrcUFfL+302Eam/OruBFJ43mWXuYKvnwbMz
GZK7NyNhA+o0bLSr4sVrNlL6QqygWqiFbCkjA9pRuz8DYjTIUFRFrZCS8rWjdYfYLuv0hDPvV9KJ
cs/401p1lurfi6lXmBcGJ7I0Qp07uWh2LGfgWZyGC95IQRTEfZoQSE8tDLVDmkT2zNzIc+QGlJFh
mYcDdwKXGrZmee1w/CsMqyOcKcUcd0/C3skeTXR6l/83zp45Ky6k19Og2IZs94d8slCJc2dRLEdM
T764mPm33GHsXzRtlXd0XtRbu5n65yKZguyuTDuGNp2VIGUx36l+MQ+f9lBDJpphR5V9eb3HfTNr
62BjLE3IDZ8cgP8zMfrhNxXYVrlmutT8clvHh0WqdZtSlJz0TOWofYiyicM+t1+/3CBFQoFxhxks
G4WRd307LOaGoVEyrIOOirWVYwjvRXuew8ZNLZ25mCb3grCInDAeH/PQn06WYVl70vP4nss+ZTwZ
DBiLAxeIXNe/6Zkc9yop6yuMwCmxPl/fQ4NKTL86u/CzmMEjOhRonrbXvNQJR+Y4qdEZJAP7OnPj
U2a3fbWatPM1pdI8JGkIYYpYTNQNal47c/YrB8G5ihv/252yD6YIxk5kBR76OCnxlVJfIVduMjkv
XZ41TP4VKzFthhovGiPw0T44npvb0YyTXx1GJ05x7Bl1jfHA8NyBjpfZbiIqQ3usOu0VozWlwRfM
Y24nFm6J51QFxrJSZpe5zKaKYLosPD5fMZUWzNMHjjpOWpQdWglZJXqg5+0SmnKfJ9LYWKjBPCvF
cGIwTm8dL4Re020mD3VXmJtUSv8hR1zc4rotKKsM888yyKzfAY2CbwU2LXBks/4wGopm8sVzsvVo
ShQbh+bbiw8MnQEiFSob2qvhjdOAkXvnWdaG8eSkGa7leByyGpRST7un1WRc1JuALoxNyQMDuEHJ
dN4wcqd+cWihBarMsC+NGJYMRBM4mw20faC/PgXMh3Cx9XfQkBEp8WLw7ASqOJSlxpHNijD4WyyJ
we2CzktjQdWGNyMWibPZWTM0TdGnH6XS9pFhtpGTG0u7D+6b2Me7sJ5/4azr5Hp2uiuL1wgWVgu4
tf6ugp551eh6zqFUJizkQl3iJgxE5I3AeIUpPrd9ZtsTs9myRei26gDOMXCIZw5RS7bKyT9/6mZu
X3vae474zAOUMPQjGihAhl+SNsSNR3TENCJfuKgR2hbytvcFSCvbczsIPka6rEXOeA/TeFYe3FYE
kuXMJKIyttfdb/Gbgm3V5OtZRbncuAWvaYQRPliXYP7vRwCFz7ZnA0V2g6w+gJTzX+XY9HJfiRSX
lFRJvQ4Sq0UlzviU56z25+yWgE1yM0mNfdq2NOcXL2zuLUUHeaxbH/nH8jBR4nDFrFn2Fs/J4FKK
kttFb24HLdeM8ynn6VLmQAYH03sX0ztmQ349lAMLpE6WcfeZah9oNrjAZkUcqMqbTZCiIr0kUIC+
rbZEvsy7a6FjMl5PR5JxndrFfVe8c1CIH+ZhmpNzAGIYWnaDVsBrw+Rgk5cZ7MyZKM+0YoGeuzV3
8u45jx2E+Zg9+rbH4nCq+mHY8Aq032XvigfaCFO9Fios7lNa55+sxgyfcWy4O3BW4XeP9fZpNoLx
FLiu8TabsdEwGpPL/VjLnvYVwXHBaTrLiUp49TsGcvOMWmcGB7NK5he8GwWsG/aYF49ZaAfxyUGX
TgpT5ru6o9uUQzP9DhTLd4pxJx4NlEwDQzTtogQA91izKFn2B9GsgCraB4ytHnYxuE3Z2kvZ3VZ0
GTbzLraxVx2XzstPbu/MzaEnytCSQMKXusbdFv4eqqH81G2AKbKgs9PaaO5SFAnOKe2U6Ti15NHT
OjMint7UOWbYk2kTMaQi0LCMuItWgq4p470mGYXAYBVBvSZ84spDWskFHBHDIUW+gnbf4LWZRhE8
uNDM9S7kSVOQNSfh+rg4+ncw4hhSyTpsxw5lvZsKf5NY8Dp3EwLPgWmndR1fGEF5TgGjM5+2mY1c
FqQvINk1eQQzcH+a7DfYguI5vqcFqSnonBQLRqh8CRPrXDi0fuxIo1CEWgZ40sn2YdmN7HKgxwys
vtvO2apKm6a5SZea45Gqs95ZW0KVzqWDpx0fXaGH9BZrRu9RJhHH417CPFlPg1vddz4M/zP9ylL9
nAtQ3LuQjg17q6clzQ4AUjP5miWqLfduG8/zVuUQeH6Vy2y+h7BFKPJhphn/yr2E4iifxKTPIamz
aaXUqJR0iQxac8xsJ4CH4mqnSK/zPvOX7Q0a7ArYRqqzYmWRA3Pn8Mz23Yz7PBBEWOaSClGLwcG+
prhk1zE0djkG0jaYVnQAHHC+SXObtsoO6ALrkXRqB+RoRPKi7qCtWMh21KkZ6y4ZPehkuMWPZH2n
fkuXEXsXwVQ/PtLvPDfWKussrETsDGW+oSik0G9TznEbOOVc3jCDs/zIIHKKdw0vUqCOlVnN4T4O
whSdzy399JlNytMHZwKUxio3judhJF3K3CGDz/qUerMjPwTvcH2PpXNeVx6M2xV+1Su4SXvDHSiu
8E1yuCM/OHfKX2t+HKoQGFgve5EEFKGkhrMUmyB2fWe1GBCHmW3hO1iC1jhlZf4WAj7gRC5Ucpfm
ij3RidUvw57CdFWYyx3BwAc5NGa/piIUXHoRjjRdLfYgd/RZK7BEMb5EqyvZpipm2b+XjLPeQcB5
M9ZIDAxIuiKdP+cE2/9BjyLhwGoO+tiQp3vsReOhWCc2+787Y9SwG2pv8Vg+9IlmbQKUm5+SiTeW
U0uMQzkOZteDj5wMH6BgKaMWwFSvHfQt9M6Zq3Cxz3TLjEIPc/Ksk+v8QIFfc4FWJeJ29uzCugnN
ihQrHw3916kGqoUxM2LgrcH9CZwO5rSbksr/alj6s83UWPpJC4cbUy5V+14aXnXA3GTgAfLjs68K
Wue7chHeqkhc7DVL6dq3bpHYD01WO7tMyfIgrdlcPmzBr8MbvfbEc9n95Dcf7gmNmHx87Yt6My76
oMDgvSdMe5+BBnUvc5MQ14DAah0HbHPUawH1jwjDFW84IXwsUi1VDoR/hFmux8HFYFtRBVVcyBHD
QF3soAy3Bj/Yc5Pk4SlgJIFTI6/RlqoA7O1acdln1Brjr6fOHB8FfQvmcGWtxqzYTeht/lN0y5vs
syVw/rv7q1L5X1O49KDY/EfC5V1fyfePv6iWf/+QP1RL78c1Gc90zaaBkr2QlPLfZUvf/kEG2+b0
4vHewgwl1f4Hv8a2frj4AfzQ/zu9BqnzH6pl+MN1LB58F4LCFVZg/SuY+TC4qpJ/jrSbvuu5EBlC
wq38cwXa/zkGniQYUzLqxHY9N8p9K/L+HQKkwlBhx3c20VaGoyZOYsOpT9UAasQtqwQEZiBPvGk8
rKTlnwMIsl8c/SpmFr6x9aFtra1RTtTTVumGKbOHTuLGR1BkmIqm5d3rnbsa/DtFSayxU3mi1Jnx
MWz9lV9z62jD7GJz/4drnD1z+fiKHY5ug1sec62aHXNwca18y6ctkRWag60gI5Pgi6fCzYyAW3xa
HO3FqW6YOiy3lfDLT7RKrMmB532QBkz3fL3xVoWzwXTISPBteU7ybJl0v2HZVpEz9xlBzzj/heOS
EviFr0r8BCNUnhUK+dIeDk5TJy9OqceDAeB07XuC8XVV3iuS5u+k+bujBAx8GNsAhAecSHxa7mSv
tK6JlTOP7u/SYpr2Ru5VpzoZeyo+tTsBPIZ/m3bSepoZ4CbtRJku9rSLTqluwe9d74zSv7NY257g
0SffDUria+aNzj3KG2d2MwjvsqAh39nimyRglD0OssTPZM3P0h+au9SlqNDOG/fQ87s+cYvOzkMa
VM8j/Z8cXE34rxrHO49G1AKgfWcmmV2ASXPhazIh6H8a/eGRgHh5wdRGl2ocROwMfaR7r3n1KAWN
DGdWn94S/57lHCwAJSewSGoPYfDY91a+yZQQ9wRvEI2oxrqT/hgCsZzUmf4j52SXrY0Tcim+IO9j
W8rba9IHePllpmj8QhYz0CtSbu6ncvtmpwgKHPTExktnHbgw04kvY4EDEqhpyZ0pEAgThnXTzP53
3J6E9WpLvrJJ6e2j5rJ/LFyt10tc+RwnYABuaPqAiFLiEl5Qi6Fao9znFyoJOPPh1X+ylkLc4rJq
o8Spmxfa3OZLMYfxOjExmEP15DYMETKy/YH5v+APRM2QFd5waGtxOtSKdHca4xQAY7gqDA8ZyAku
Xe93m8Zqwq3XsbqntTUdOl7mCwiRp8RhgwQ6TvwbpXar59b/ifAybFVRFu9eivXQ0/RSRS7HQ0z6
idjI1tPcqTijLZVhRNNMMYAxm83a62tz4ywYtpNsbm5K/KiUyjBIK6RZHsrFv62mdlfaEA78YFE3
cRA7a1cGkQskkc4dtaOTnIkbgEZJI+GAqWwEOOSm846dFE+he20v6M38Xk100ykDj0uuLdrEcoaM
ovV2VpxVp8Ayg7c8Iw4IorYa7kmtjg9epd5ILn4Q0ENr0Wdd+Z8SQ8zdEufBXhmtc7U8xiw+189Y
toF95c8XkVoeRu08BFA0V2VB/LjBKgQfIaOeeswRSzLCaLQBfNHHeqF4aWLQSEZN9B6FVZ7qX1I8
uLBJc4pxcrRUv5YdUfNKnEyZdMda284GTdz/7oI83nIstG+QgnmZcN5sYipxHxlQ8VudHIvFA7FJ
D9euPLdetjzHVwvkPOLgX9T0kpRxcMCzkW6K/NpQYfr1cfJpKPDzQe8GDFaHvHZxpQmtvYPG3ccl
MV7ugmRxt4lP5Cy2k+uBaL4CI/hrz7mbRu4CXVgYZErysCk2RgxRiqO4s7N6l3m849kfSnJJ5v+u
5zPnIAG8pJuOJkbdl7kylojqZXXuwnE4ms1UHatiDPYp2acPhk7daUwZeJOBMMm0N3h4spQrXjE2
XkaQfLSfCDz41tUrrBBRpp6bqZMGF7xodCylGWB/IoOY5WN6jwCKPdlj02zUnO24ElJKl+t94dT+
mg3DfR0qAFHXph5w9XEso3TIwAEOMwWGS+DJ1zYpF2TuQEakp6nVqOWVE11gXZSWi3W3TUlPhj3v
fze7EbpWtusq17zTfrHJTSi9aRIyGYgHKuT8cy8pLyU5CZPWdk5QYIn0EVSrlmE6uTV794okePeY
Gh4g3n78ygMI6mN9JVXEAyb97F7aZCNzaUzMg3GhZNp0tl09LjsbCXNnu6zg3JuWaIqhPvflMmAj
gZ4w+E8SXzPGKz4BJX9qflWSZWOVIFW7+8Gj3FEvTkxnB6NxbOy7zoR1ulCp+CvDrf1geuhhfHag
9cM+HpK3DnluKrKfIMguVJhtaoPQf1mgIejOQNSlhjZKJ52eSarL41RzJfelx72fn/zFLUP7Tdty
XKP+5Qd2CczNsXrEZ92SQ8UAHolhGJlSppV6ZXBPgsSbu1ufAeWp5vLxXQIkXvHkXrdB7qBFXlZb
jdaCJVmHD9rLIJBMFHCb/WtvDReguKd+lAu4ruSGqYjFNltUdDNWHfErjtcmQgeLKgVUR6Nprm1O
+mxPMyQsawDsReLRkfauhjPQ4ldeES5Hv2GaSjKTdEx7jW9NYCItJ0iIvctvoefQ3XoV5rRVoa32
0U7G5qyCb3+yqcnz5/jSEHTFS+taJ7eDhr0bxqzz1hyou/eFbehbLib+HypA70SeKhCTtNayvZHj
+UmPYPeTyYZtrMM5L7E2kua+nwezW8/KbamF0RgWOwgSFPXN5jNLD6wDUmM73VR6NVrzuKN3QKwX
pJF1fw0V0MPlPRp5Oh3KgAqDnZdQ5Lu2U/0Tiy6bdBPcBoaLBZPJ1DPma5LvNUeUxFTfhZqmn6r0
C2DzvreFj8LubdtleB84eC/w/NXIJhtcrpcua7deT0aqs/tX0bVPLc5/erZy+55YXk3HAMAotr3w
pqIeNNvMZoHqRrEedyrrkLj5p0ydnV2DFdHZCelnP3ZjTxDBqcAJOWVS8mbVlGkNLBj0J9bSJe5o
Nvva7e9mw3zIzfSTDe15bAdC2s4OjcW9kBhqtolwMPNKxbM7L4J9l1NYnG7cyvPXktvOjdLO1Z1C
UQ6Zn+YSE7ov3DhJ1+OEQEzaor9g9WOMpJpRUI0h1VqClPzJ8hvQ+aIZzneD4Ww4wlcHITh1AiKn
Ezs7GZOGqM2Vfd8s2sRIFMyPtSyWa77EvROMzdxSfjkJB9hycvpTzx86aooe9Lyuj0aKNq9dstuu
tnC2Kzs8AurumLaLaQ+kwYzq1niXs6f2c1MUZ4hgbNFXb3rnM4hnODIBnEvdM3MBSt0Npzly4bf2
qh6TYxMTjTGm5q0HHPjMSI+mgCFLuXzPBkWKXRc8tNBjbsNYiB2D/fegqPh+w1ZtRnYfSlC9Q2Nk
M6mV7rXx2vdmqN11ZnWME8tm53W5xNEkjBc3K4PXqhyNTYaX/alyoFF5JFD5c2R9RNWZ8T2hMGw4
UaLOznMSTbIyGb6WGOG8Ji/gOjckwgdvb4+dxy+1TM5xYijYC2xSSV2s7evIHOx1c3azAKtaVot1
7lKhvmq9Kz2WgGREekQT+m5anh3yN4zi4ohWboMZWx5Gi+u4EM/7+KmaEYHNxCI/hY7ywJzTvniI
VQfOYONDbRXVS5tgHrZLlBzDdecHCCPmasi64qsuBaV9YJF+h1S87yYy+RjkOUErXzpnSyC0ILFU
5Tt87JSRzFV2EODiThTYZo9JwikP01uTPWv6XFlqFXbcPia+W5jmLrFL80Iik/d6QCPxUq0PMbIU
vt0q+VVRe4IG7Vvr0RjLL6fpw4sRKPd5FsJY4f3Hq233+i3UTfKQ03PyWNObehxRPNnyBPgxqFVe
pLgJUMPpYBnW1821Su+1dLZL66Yc2DQT9zR29oaexotvY331xqa60BXGLBOQFtTi+HusMMyRSwHN
XkFN2arJjrfMS4I3MbU2YZHSfhgXT2+mTjSnREuP86fn7qHZub+4sjabhWbLb9XF1jrkAnjAIVbf
ekmWXQaRZnvX6TiQE0461lRQsGs44RYIdyBIpdxBK6g2TCrNTZCF4piRZcMkGMqLtbS3pZkyqZxc
vRr8rjwGS84sS1nhofOpvnXHFhpz61KbRKbjxKjaoQSkw+gFT+Q3UJvPrsRDG5hUbSrqLtfUKgB3
CAUaER3JnBir+AR+6TIQ628aEd5Yas7XXuAO+A/c7CUz5Lwel+KtxlgcZYn0bxRQj9Jd5LYyS4b4
lh5P10s+klj13YxQRRFnTnUX0oXVpiFSTCOf09QybFRRkaxxJ5AaHTwsdQ0sm75vxZkagDxqLKt6
IsBJ5r82h+fEZL5J+dAjZbvxFuMjo4idyJv8GJfDvRy9tZ+MLC4zR3KmjkYi5gtWkmZ75Yeu7Hm6
lY7+4PGcqHKEuMN8fFm7c6vXzJt97txUlbSLAMWSmxVt0TYPaoFo2LXUagL4fFtS85Kwfm4Qg+Hy
UECwrRuKcwdlWBvuefE+AMrALAmsy6DI0zK/a/aDDol+ubIkX6LlUQyqWjWQU277ZXao3aDVpnKT
G5zEAEw4jSbHbOrFuCoslnbGZJaF9YK+htUSWi8Uj9IjE0QOvDLY5XWRRLUy8oiD7z6tz3nArKpP
hhFeuQwImhnT8KhdWb1BYuPlsVMRf9IYsRggtnwim6T8iTWag7zHEWQ8TI5Lm8yhdQbyih0WBY6Z
7nAB7lVdJODoX+yA7UUZBddcmoiiSuYNKelMTEkkjPAVvEX8bAmqwZqBe8uKyh/up0SkMSe3udjh
Ouh2vkq8h7aa8uPcef0BWJL7YE+Os+sHq/308EybzD367K2uw+5zKssFjyij8GVg8eRXE55iQP6H
jm9yT7JzXg2wgKMMV82aT+C8cpcen4c+Kx872jSIulv1LmWwsawIQNza/E3vrdLim6GN8jmxxm9V
SGvDTSg7puaAekpjwbGf4jDCfjegG7g4qHRliFt2W7EpnSs2LU4pYp2NsyGJ3GJtSrY+B4tVKBrM
rIUgxGtlLhrPInltTRX6jz6Y0U1YWgQgq7q8MQnCWO1CKTBj+0gxB9xDHcyPYWtjC+rqn5OXv7cY
SJY5M/C7ZF+U68gDVoqba4sUsY+pgQA1vWguPwHvsE8b1k0fzr/qBotWJkmB/qdImv+NrJj21SP5
HymaT9cCzf9x175/fev0z8LmHx/5d2EzcH4A0bZMfO+eR5hYQAX9Q9j0f3DMtTgcOhaU4EBglfyH
sGn+wDvnXQGw1xEJ6uf/UTaRQx3H5CPD0BHopP+SsvnPzEkRWq5w8GOikPqWuFLI/6xrkkckOd27
w07JLnxEd5lvq5rrVmSHWfthhEt+GmmVUv8PqiaCLtrsXxRVgUEV33XgMt+x2CH+6SsTzMiZsg7D
znP6eJu1tqveef4x1WSDcChSUFwdoow512uhJG7NyanVtV+TkiBuYqPp7cxCCRoIW7sgIhcjYWC2
J2gnqLIh3cikytQqxmNexrrfj9bVeYhtip4vMXZ40lQdzB9csFd2BytvZ3EdfCsx3lxDgeFzacoy
3WC6HO5nPERqnXdedsrSghhdoGLKNgZh9a8V2cmtKzB2BGV5crKaSHOyndn9uZRWH7LhKtkRlqJS
pF7ruP4khyvO1P7Je3yh/ku40Mtpx4YEmqdEFaWu46E/JV78ZEBIkIhsRn2YA5I3VTx/+7Wb73A2
beOBLGFn0c01jukdQSx/O0wshpXP3gjZ4znLrlkgivH4aa3HAQ8AG7mFeNpUkUsbb1SUNZwKqFe3
lRpZJHCoWOwyIKd6PrBt6GRR5CSMzgQ/prhmtZP1zupeYW9yTv+LvTPpsRvJsvRfadSeCaNxblTV
4s2DP5/lcmlDuOQSaZwHI2nkr+/vRWZVS4pIJRroTQMdCwWkkAffQJpdu/ec7wivB+CGgypxun0V
FzuEt/jfMGfDKoz2vk/92HtLwV+qSViO++lu6ob2RgxX40YM8DFmZsT5n3j0uqNtbbf0xZl4MXzC
QbWlfeDgMIv1XnvJcJQEfZFf73hHVyDAsEZJPl43DNTfvdo7dF3WC4HF9NkriXssG3Zxk5SntMT5
GnGg32AhIGR06tiQmTQzZbWTAvOi5b5DQIDG5DIBCyzfuiWqnSMOiZaP81L0OZYDWu4JJyDICwZL
xCrLhAMBEMp0gvklcKMN0CeS1LEG9G9I7PKaLhszvLVKl+BTAhvygrjChogny3cdzBkJNXlDLg7M
bZh8dX4jjEWFP3WC5EkZtUc9UzQK1zqVTtOcMJjXH0saLHzWWQeJRSw6XbYd8v5l3Uc0XChoat+n
3PLr+7IYmU0KHIToEsAGbtjNPMrXHK+3sZ3ipuhLe29s+qH73ErDp9KzunZjla7YtERryK1HtrVY
LYEfXkTncBxGzjI+SEvPOzdJ5+SUJA1Ffiva4FNPxhHyGtSQQN6cmtwl1KCP8xSKI/olgyOuTcob
AEbymEOYbRA2hgnjvsJ9rrsOoSsIdc5XXnjVPXM0nRAZ+E1xB7NqfInQC+LYiAKkYb6R1NWW203b
0JuS9jRP2v5Wt8wbfJzNL7mTtsNelzYUNRyo0c51wKmunL5l4rTCqW49hr6edihalnPe00xn2CrZ
KSukFJALIDE9DxJhLwQL6wzunHQR/nHWOHQDXGzIV3l9EBoB99yRVf8OfO9LX6Y3NkNgPCrubpiR
B5WjLA5jGjl3vsvcBmvKjdKYi8PZz28irDGrxbZQ7QiOPSQA4Spu2tvKX/r7NhPvgAeZANVdCcmi
SA4iC5pLRQLxTmIz2gVz2eywkah7KGV6b6weW8pi5FZPBiyT3427mbnsrcAFSwtuvoas9rn5XpYE
t6wQFahzhPGR+OEsRC+8VHh/mJh79peAAuJUyKE44yS7M0EJPRb5AH48oPO9/62t5+uxLahnznqV
hfkGJrqmcUZIQ7+m7PE+5Okc7PpqHB4ih54F+W1xeJ2ljqdlWL41TntlP9Sue5UdxBtmLMFldNy1
5+aLgwjXSrZg3BQqNSxEluAMS4U9UMeAbXxkPJE7z6O1dFBj5lwfIfWMXzXO39t+Gvp8myKewyCm
AdxjRlzPupYEsjsm4M4CLcRqkXwJx6zfWABQD06IeBspilgXCnpwZqT8EOINOjM3RpYNUXg9G27g
BC8nMQE9R+gYFIMs13XpnRjkc6aRfnoafO87u5O6RRUD6Lhrk2zlc6f0xwxj5LqJEcluu2VBHqH6
xK421tx278pCL7dK8g4jt19RuEsE1/02vUY9riinEWClI3CbJP9IwynfFoETfrvaIvezcgziCx6Y
vdeOtDIboE7udhzH8BaCQvkS8D2RmGt3h5ms+3e6Ce59b9r4y0zN6T71bckyq5cqhdGvHWFWqqOe
3jRUBzXGogSkU9Mtl0QtDt4J8aVJaUB5Zb/sC2mP54BsatNVrxYS2PLaH5Uo43r0cIzcfQeyM+GZ
eG2bMESY2ir9POXSTaHUZ+5t0Aeo9Ge/k6tinNr7OaweYvDBWPZVh8mytO4LzTjKWEzj8z5eq9Dd
CZQHyMmvAuk2QTeYHOk9ZLDn3e6coYCzPLz6DrgS3kJ6iUbx3gbm68z6fpx66M+hkPNRLVEKBKZF
km/F1+RJJBlSFrQzCxKIho6QV+zX6ziR8WZJ6cHVxEicMy95SZwo2bZ64gaIJ5bnxMFHpd0eF6e1
pI+lIUKUPsvOgpytSt/e6XmQNyk2Y8bANF2FFah3g08SavioL0UfOisO6zhJDegH0CVylfR0q5tg
bgjYtKcttaCz7u1KbIgQ/RAXIx8kucwcMvhgi7aKLxyrCertmw+Tl1rPOOy7g47oy1NqIK3yO72H
4mTvWYFCxksNfpW8A6fLKHFDd94/+JnjooWN7nvYeduqlO6d4XsXU4GoSHajcffMWYnRxaa270J6
AY7TOTzwyvXOlAv9JxVev1ToUt4OKWx/76sm2ma27lHCVjHohkAUj4FeII9ERf69N56PUKRktDhG
08eMNshmkKYeSV4XNU4QdC2bBEDcd5Euw8H3sMplupD0HzMR760x9BS6XTu9Tyxskes8gUPnJ8jN
jcwcSKtdS6y1NHecHXNUh00VKT5v6Z8SAEOcgpnpnhJyd5lx2d5ZhKP9TIch/lb0xN6tmios92GX
qJyFyY6PmRbeKeGjFmCVsmibOJY68aiAKBDJPCaQgULSQoS0X8j8iFYoBRhNlmTIrlNZJO9DXgks
xUwia76EqrznzG09Y9fKDirtMTGajGxYMY+vLi3u89AyUboOa1ImtuCqZD9E1UkTBY6uPnWW5zyb
528Qf0oe0zDPHzv8NI+EhCNXzhV5aJS2BEtT2u+yOO9fwrkWt3FaVac0tsV+Rg5MN24OmEZwHySv
ym3dTUlGDeMQyzyPU+kexorGmBU5mmrSR8vQ1+EF+aF9BnUVvFpIb9ctZpBXxyVEq7YJ3NLJbRdm
oFbCxFq2LYxTn/vMpUNIJhs8qkXYKyxb6sYVoPVMAMIABh8FzxQrsw5aTharAfpSAUPV52aC+FPe
xhGW3YhpNDGiFQVjOetHX1vLMWh4BVVY2R8cf+RwTeK084wWz4dEY8nMvmeLYH/D0jrOLGC2vyl7
wJJFwaw6Yti3851q2dG+aW8HzshrcIxvGXP1rSVtGgNoMvZypEGHOSh9p2hhJsi0iZThpZAJFKG5
2pf0zY5NO/afeGghIkU45RfPVPu84yKhBWoxuwaVeSWwER/5w31tOnk79WI0b7UjDfMNo9riieDr
JNjoBuoDJxEOeOvYTjLwU1Vn4rULoYtddtBIM/xwtPZeU2ePpTslz6ax1ffFyuWeXBB00svkQsDp
RP/QzNL+NNQRKCEzyWI1d5JOy5LQVsqUqp6S0krJWfCzk+W7zlvrSp2sghbk0GpqfPMoKFC/dU69
nJKpRhBYKtM+zp3NWrG0kgWawptVzdNtwsAhZ8nuemdAzFqKtzwO3A8eoUvdc1i6vr6N6xZcL0Gf
EgxhH/L8lAh4R2fO4LZ6yTxsojLBRaAGe1bHxuYm3IB9Z3Y5eH231eXsE2Cb8/TCsIF1XrMfnmsb
7jci47ZBPR2kzCwsB5GC1UCC4xcGC/XYJMe2HpxPxTKl+8qOmpcmksMbOt4SrU3TPnae+wByfJOY
ot80fRie9ZwAruE+RM7ni7csSKfPCZjeI1w+9ZItI7EvQJzCrR/N7ifUGuY06mneYfCrrwHu/kNC
4ArT58TEBzcDljQ3+ZGKOr0x0p0ObT8sh4GP8G0MkvFG15Z/76ZNt4PWurfRut2pIJtP2pc23e4h
e6xcy71EDJcIB440c2fkJPPKhC2ut6BAuVx3S8eKE8QXoLmfhyR9x+9hHoZGxBga2q5ktZZM+3t/
jL4zqArW6VASySn9ZDNOMn3pwmj4OGU8OYVV6Y9ZkRB4YBjRV6h+TgoVyEN+jXhysTJLJq6PhFIh
qy3HlupKNd9chxGRSiZ5qHCbPS9jpE9LImC2LHp6yW0ng1WYp7c9JOD7eumc7dyB69yWdqNvTOxO
mw6/19FPypTI097fOGQTAAfKpuZ+4Ez6pZ2lSyBfpXfzgtC9D+vuboSpAXat/TgIQ5KBCSW6GVU6
8ExrrBsdPf0dme/LWwpIaWUbcqMxqFMDIQ16HVGHXEaidc+Fn0evKmjjz7FizUeZ3h/ZVsfHOcEQ
oKjFbiudLNulj/VlAAj0pKnychrjTKkXjFcngtXQePTc8mPPeh809fBZqa7axotWb7MfSo9BOUdq
uxoDXNIc1lYjyoJvil1lw3CeXmjEnhJOdMuZyAviMvIdQ4TsUjFneIHB2Z+8Js5erJr7qk+JadLz
WG3Ca4+9TB37nkw4QlKvahlrHKAfzo28pFZZfXcng2QBMb3Ez5TpW1Gy563mKnbesV5zwhq6soMF
1tN6XHDvHCxuNACjxUisoNY5bswWy/aGSUPzEehJG3HuMvZT7s3Nc9DJ/i3DBm9WwR/ODhO11WvP
qP1t0gLXR5Swvpx7LID3C6vfy/KHLwQLOh4RTL5gtbMc01eiJ85XGH2dL6Nf+S+1LBcAAEH9hli8
gb0jgo81OOk1beb6JqFSwzTB2sELyspNXuGAUmPgPkYWq7ftd9hjILbhWujHy5KP+m0oh/FsXy0w
vQzjbV+r4jAPDsKeq1Wmv6IjYbA0IKGF2iV5aT16Re6tsxI+rR2sNUt8TQh3Xb3XVeuD5SBgwDtY
/oKDB8kp1N8psV+qP6w6DaGX30fhkvnRiXmLfsv4wJ6mBAtfRbpdzhlykyDOPvSBwq3Em0+oCf6w
A8m0d8sdVUB3M+PW/yQjZT8HWcUNpOyF12BBop/rsIftkSTVi1u23/s/zEYt6D6A9PH8vaYGRXxg
sQzBhIMYAI3cGy1rD5nuS57Q2LLrHJfc/FYYb95otub1pDUyoKvriWLshUWmPjHgeBIx0fXJoKxz
kuGSiq5+KRwD3sbyGRoMZESkQ/ioVe/exU5c3hBccQ1cca/2KxPnR09X1Zkptn9EpMTtgAXTOy1l
NzC4SZ3rNlXu8lqjywI5xFbV86RZy9kMc3hRxClsaHp0ezuKIbNx+3xpbIFnIqcPzs8X7dlPhXcZ
OUEBanD0I4i4+3lJ7T178/SYxxbh2dqmLz5Y3rQvLCBuGG67O0+Ku2tP6JNAIcLsqplsZwMfNLuj
siMNRbBeXVIc6nS7ei/FC3qFDiJzwcYZmMWl/7bojWPS4oVJPinb0dT5D5QGhbuGGx7fyUyhppiC
/qDd1F9n+Kw2Dq5sCH4zz2UBKwhWShnvANMirVJD3Z3djl7i2h1k/LFNRrnrydX4lM2OuGCzIhQH
hRoLuDt6D44a2kvL1dY1Gq371BbORTTQcVdxVAfnAXv9wamZQEs83mest81ZuSp89O2i2VWTTydP
Vjyncz/qO5prvSaCo6ekCQOk+u1oQZJfiA/eJu78FQANYBeZgFhJpHgHMpgfRyCfTz4r08oPBvwt
8IHlirFIvgNEmOw6Tyx3UU/3LZUBkCU7K8OLyXXzsFiGscfQCv6T5VQHOMnLmxmL4NR4TfaBiQmr
oKlxi0rHx99K88qGI9z0d5wJ5Iufzm69EWKk5iIcxunZzEDorhIkdRz3cMZ00voQ6rFfZTP4Q8Sj
Cd9mk5ptZgoDuVjCq5mJ5tWF35ysGlLlbFXtZ6EoQKykhqpVZnBVo/7AcX2f22V7NwoSY7oc56K9
GDZSfusxRMKBQmrltHMKttNNlWbNvJ4RhW9dJ+UZr0faDX44x/shbzvyagv0Olcq/QtmPfslnFB2
FMOcgX52uwV2mZ8p0p2wPK1AGzfPpCCXYqe83pAXEoxZtSMHWdRn0lQlLdmmlty3ND/wF+aJ9REG
YX8KBS4+LHA0B9Zpmo2Py5wCKKwDXz2lwYK0leQKmr0LgmbSa1s1fM+gAu+XYfI/53LxH0MT1fYu
qAqr3WaZj53IQ5VCJwTILONgMo8RekUQj/sQKeJ6ihQ6ohws7cfBdbIvoyXmBbfyJNyjuYrmTwut
/mflLtVr68TT3sqq9s4MzlXE7LX9Ay4E/F4S9fF9M9GIc0a3vGO7+eTZqsHN0OfYyaPos1U76a4h
u3GlnMAhgFaWLxlUPNBpoWlhTqXgUyu7oJGiiXbMlm0PTALlQo8jyKuj+knr0WzQfS3PtC89aJ8y
uHdm/M6bbELhBM6UDCLdOuE7XQPfWyeVxGZ25byvLGMsF17BBIYfeMSy7pLavCqQtB6HETlfdOmS
iJg+qCYYYO9VfvScQwCG04KFK/e7fEN6lyH8iJ3ggC64KVdqwXYYpghd0GKYAYgR3IiR2EHLewgb
xzGrZpqLaIOkCleZdujUbsY6JBrecWoG5vMs7wvocg/OLEENNHp6sPwBZHhkF3uFb3uv+8b54OS5
uXMa7SIStiaxq9FNIYTzsrt+IGZki7nY/6ybPP2kjF+cSRIe7ztL5i0tSDt1ARwbpi62XfArFGXU
w4oqa60Da3ydl6tp0qe43qWeITMjVebORB26gcAlM3Sd80E81Fm3WOsEvvo7iUXBAHfStp+SmEbv
SpWifMpUILdIYDhAA4QCoFr13tqPUg5SpnS82662+8c2qcWjnJzqbraI0WGMqtpPCx7mWx9uJGf5
NvQvor9ysVV1Je0o3doffKiqZ4VHAyVyq0S66gf6n3jFy+CUzVb8VeXl8taQWuZup5SCbTWK9mpT
XJAT+LPDMW7pxuIjd9s4ronKYCeg62nueuHEXydLXxc4HiLP5i8FxDZCbtbLBQlacCJOAtFKW/Zn
1nY2oD4S7707QNyLana+qcEY61uqeTAkyJ0MsIkbd9IE2Tvp8L0fXLX3uW3hOoZRi6leG/PNz2Kw
dcWw4QxRZGvt6+qA8CU4eazbmzGoiycXA9rJknj3l3we3qusdZr1gk9q3xSiOmSAjKqNScr2zW7A
AmyTIagfOSLR/W6q/kM+OuED6fDF16UJiA6XHb90rEMw7tvXRKMz7fp4ZtyhAoIMNAPz7cBn+FRN
vf7KDlSGxINO0bOFHIIk9LKTalv36f1QBv1jXece0wPWFvDTg+uiQNb6vnSC4tzY/JAd12AoFz+4
901FN0HM5fB5oa123ZBHeQkHtL4wK30HFslUPIKnyJG2RplsnoD7Lg/4dvhGKG6w/yv/geFWdSyE
nZIOSESDzA2ZIWPLUcOtu23X2fBj0ym+K8fZP/FjCXP61vpiMICCAKtfybDJt7aq8RtFS3g7BMty
P5vyvSW7qMwBPbVpjUGcUNqLr2eocpMz7bs6AP6WRk8zdsxt7hckGPi0Lo8QKr0MJbVRAEEhJDkQ
O+E7BTw889X8WfBcrzrkpruR4ysTmoEOh6XK+Kgp2z8Hae3fx0JgaHAd0z26FPScBArPGiGzs8uN
xjQn8PBEj8wQ3LE/me6G6erXustJTW90792liQwuk1+7D4Z2xucqCF1vlWPt1Rx3Gd+kA3fTRHIu
q2p8TVoGTiXoKeTdIL83yH1R5Il2QPRd96itabt3V6nZNJcI22VyHkgb+egkbFmonilZUjqcuS0n
NEJMW6CG2M0L81R9LPl8t2mr64NJu3AjSHjdhrMI671wYINXaULWm9K6/Ow7cX9hdjhsC38Ov499
hZ+G1DZ6wXb4SQSpgLI1FKG1xucQndDYUsgGGXMrZxk4wUg7nc4ICGnllC1kFqY5tHsb763x3Mpd
p9BujrHVc0fSI1FQG/LlgkiKRS4K2sZANUifvIqZD6yO6VkFxn2vp9l8waGin0EpELLg56QLb4eY
KC8/ykKoy3BAPrc580v4nhx6aJFSmiwlZzyUyizG4wApi3tIww1Mcp1eIPqLL4WD4Gk7NTHIkG5m
45qryD/GGGWR0jrIy9mDMTU0GGdmTyfsXFVSH7vea4hLSyRegywu5o9IjyVzmzTaSdmw51ctsDZM
znW8rolDjDc6UMtlUPHV8j7J/BREfk9kMzzrlZfPwVeQAYpenmDihzO3ZreSqomJGY6grDfl1QRH
oy3X3ObsYqh0/CtBCJR5exMZw2UQnCSHuEeGsyZVwSYgpGOOIqscTkxg6pWOLetIk70MwI/21z+Y
eOhWJGjKD8xsHZLwGIgG65IYxvcW6fptwwT1gc2L2gWsISwVj639qEVp55tALuaVfjNSHBTkz8n1
dFWGGtdAEhm9xhMjt5MS+caoQlzCaJTvuVtfNzFycKw4B1rh2sMY7zxUBOuI5vB5KYVNJFhrbmfB
xNuxr03ykkg3xjRyixvN5skilZts4QdCku/RE0+crvvXgSL8NMdVgbG+sjDM2v1mmtvxm9142WWg
nLhFm8b6tSBkDAJR3WCVkmvCsiqYRh7EasAo4lVYrUL4n+YXmGlyW2uRhuvWjL1aO55+TSHnPnTj
WN3UyKgYo9vW1pWAvAs7EMRojHimQdDflEOd3iFky7o1UFy1gRS0fMX0mR4SQFxHGC7Ylgd4HROo
U+/vibb/twFs/9TI+NX8z6815DiVpPo//1/SBmEsRErzzzFtTyrPVfmTKOjvP/IPUVD4t0gCcnXp
jiLoCIP/hrSF4d8EKYhS4GsE1cuf/0MSJMO/2ZI/iKB32Z4nA9yW/2V2REgURNiAnMDFP+kSNf6f
/85Hm3yr7/9uYgRu99Pv/wfE+OvSrvv/+LerIOkHZY4fea7Dq5I2+eWuYHP4JQ8WkoCopgoMizum
1mnp6L9zaLoQ6tKcAjMFmK9BlLv0VFjHEvNBTXlyqmx8Na3Q6caGGrUq5Riid+9xf+AGeqzKwRxr
q9GXMqC+/+GT/ccb+PEFX72X/9ub+efXywfzo4bJs2ZfK0JxDpEqpsPssns2uP3hncUoyume4hUT
l4guz/73F3Z+yXj/86Wvgcs/JB3jhiRXs3Hmg0oYES1wq25zntbd0pqanDGLhLiI+NrB7nBESu/O
EFBENR2V9EKiZJ1heDjMC7ztGkXzCkY8xs4uvcOGiuSl4dPzHXNXQAW4xHqY1yqAPk5qkDj0i3ok
pXHbFQqOl4DIpemIc5jG4/KaM2ReNnPLoLVOS/SNuhyeRrQ9N/n1qJQXlCdFI8tTGYn64g0gejsQ
WJ/A8KK8t5r6RtkAjOYSeWzXkP1XMVVNxbEgldPSmXVNkaCVPtnigzvV5hgwsdkXnJFXsUnULgsG
iFBRD+m+RiHVKE/sU3Iydkt9nVImAMs7Rsv7WmZMD+K7YZ4eYOV0OOM3U2G9un0VnXXB4G7Ooo/9
IpmERM25m5GozKkvbyC5E4QLqQVsL7v9TKOVriIqoAaYXRi86RLtLvYDAu2j7EQHw2KoNN8Z8l93
BFDo7SBiZ22lIMoaKqodtjE4CoW6BXfrAOURBw5/z4VrTvEy41bsms2It4K8UbDeLbS3GOiXI1ra
mq5hV0YWohY5Ei1JPqScYGqjaaVlO4t6yxvjSKIQPXmdLz5PYD23fjKxCYDPmjGOqYdpiJwTTw3T
4eEczxHNgVDiWEzNsxmt8cGUBugEAh3ctwNcwKk5CKa/aN2I+u2SCBsw3wkZluldBCeZeQsyH5pZ
Wy/P7G0f+vExrHyxpwcYH2lih+tQ1um2xc9HyCTH4GhoFCNn5o0Myk9X2YJFZ2M9piUnlc6hC8dU
TGnuZuPB1OJYQ5UXRihi8mE+0/JEWqQ4J4mx/OIG1bOmbOgQHu7blnZiGj6jZgTYCjZQFnyWHqwG
6qnx4Dvw+nMiFddVwOS7kOHKLoYGsXVMfE/kHeAwBzRA4r3vvTAfxWfrgEVLvQY/RDFkG8hz4Tou
iCatWswgQZjtWxwMTNDF2WJIDGcAcqMBd7KqGx2cZxSET5ljW5s5CPAuuE9XByH6LQDacMrFKh+y
Wz80cjWn2AwQp2lSW4TZzJbcW1O39ySKbtdPHplh03NAuY6v59iW4aMK8ci0s3nWBmJ4o9Zap7dj
azfYd5YNRmACS1+Wor0LWpskFdJYU0BP4GZyIMVBtK3E8JYrdDl+0l0o5jdzWT33FiAPE+3atPwq
7GpLvGW+KQJ4cvAY0jVmy1vmgSkxySOkl/ZBoXC3OhsJT3LKIHjjWW3pJ8IfCXYJpSBhaE7df7HR
pPK5V+LJ9PCUZSEfrV6Ae1aT4NkeDYzKxKwEqSaUhcaJ3tJC8Xve1tEsPcEmReTO62kYHDhZBPzi
b4OIm4KiMC0Nv65R1VHmNImbgUztrszpd8QA4ouRwjvjcHEoaK2fHNZFBPHiQ6ngF7H6TedZTMNz
F4UsFhqXnJNYYj+lNrZHGEeAdapA3NiBEceoHbrHNi6H+2lwmoOqKRsBHvIXIbfhh8cOowtENj7B
ds08nzpJOqrn58+EB2moMZr9IXdfBjrJ265BLVLAmqazWPUMhpvuVhL7tBYhPjLtFnSvEGyusnxZ
VteW5zG5yuMzqxOE8ClaeoIuaVT33muJujqIyYGl3bAulxDi0hRmGxQAy6GbgoXmeP09SCDRa6X3
nu/ItYWZ4tBH6pODa3frAuUOlMPpC5XXzuBCgTR9VRdamX0EoFXd4t94/P0+9rMU949dDMICQmBU
4AFFxC9IVttyKS7zKy8mqinAS/9QEko2QGA///5C9s8YhT9f6ZfSItemSgVt5sOYDN7BjaNv0O1H
ICuSwUvuf/HlNV/Lc+kHX1feJpjqze9fwh+K5l+qBUp3ahzSBBwBOeLnLTus4T4TJo6naCxBhwhm
GUTCIbCBIYextguws7U247+l0Ye8snDLXVeSFOgYHue4PUeTJvyyr3HwZ91DPmFawU/PKs+Eorol
543MRVuoTTai4YOrVh0ksaoowWYWwUqcupZcTWwOCBUDtGma7mDZlQ+8DmubALn6/fv9q+/2x7d7
LfZ+qFAytyBPLffsg+X18WPfQf2bsV1weOKs+ftLQej4tQ4L/UC4Nid510Xu/vOl7AmLm4bydFBD
8J2DFx5qz/3s0AXfdF7z+vuLOddb5U/f4w9Xuyrbf3hjFllUo6kzeUBkeA/i1fnolOlwzKbk3Va4
T1o/1/eg8NJTqOVy0BaqP4nuFslpoi9RNhwyvkmUTaQL+q3ZZf2gr50FZw1rp9woxVdI14PJrc68
jZzr6l5kaQWgm/N5gZR2I1F/rUgyuTHXoqS9licudcrv3+fPAv0/nhgqftv3AhmGvN1fZPJ5ySTH
Yh85+K2H9Zoc3HXpcJ4nZ9O6V6OF5GNoi/xffJV/9aD+dNlfamqJXKFDfOkAsvV4NDrvPciZ0ZJx
A3u2E9apms0tLZXunq5xvQ0mnf+LB/UvXwKLEoJGO4xCvOQ/f8H09AzCQGUfHEWvrmdLZFDC0d4n
jUITHVE0xLqHTHKxhX9m1W//frb9p+egv7idox+v/8uTM0wRcqcqcQ+6GD47vTK3mnn6qWx9bmwr
ufn993w9KfxyO/NOBV1czCIe//753aaTsjpdk2HGkC67sSfEbAopwvb3V/mL1eCnq/zynnoHIEvh
1ST8akxBE28Q75KL8MZv/sXX91dXur4VIQHjefJPi0ETDRWhI+KwxBMs6tD+iCrueG1i/P4d/eVt
8uOFflkHOH8MOi46l90E7ISa9F0mA3dPzkm8YuDnPOUJxo1Vci2P22uhjLKlufyLF/HnI7MrRCB5
RAUUdc7uP397cWpI6lSxc4A03hywGYzPjXRtkt2Mc2gc84FUD8K8R3gUapwp35IUUn9bCCJcrTeE
ovm2qQmvuVYX1TlPyo8+rpZ78oBfwJPU/+LA7Pz5ZnOFDS02dMT1FXu/3AYMgHJixjpeWjKcgRIx
RE2Z1tZLAfvHWi4m8s22GUig61MDhlE1Kw6h1k6ZnPLdq4otwiNn0+GUoEwlURszctlwpunJJ2CU
1n5vmikhkaWkhIMWYQdIiBQuewQxIX42S+lts9TUVqikcSp+kwrN4Dy15Vr4o3vT9/3fS5z/36h6
nptv//Fvb+8lsmLV60591T92nWwed56If96oury9p/PbX7nY/vGj/2hYyb/BMnR9mFRSeALP1n+7
2FwaVo4QSF3+8LCxEPxXx8r/G/UAbSTGvyLiEMML+a+OlU3HyudR8f2Ahjdwr/+jjpW8/q9+WD7B
gtEz84EDSc+nB+Z4v9QeCn+pWfKl38HzTt0NBmZORaCK7yw8mC/IF+2PIQBrgsuWoLhRzjzZp7Di
VB5OKnuqXKnuunYEcNVOs/vuqTx6XvDGwR2tE+nf0PYf0peESAxub+RZV5iAZCXBfmssRzAwKR6R
PpoPgVd7a50O411TiZcl6wyHoIqZgteUz8lSIcv3AucOSUx2kBzFT/6CjgdSy3Bf5mgTV+Q5mHrd
F7psGD1Ro2k5E1npzT3harCrz5gNJyJVhnDGQBaPONuVX9Qn2bWPlfHL5XFk33KO11zKp0aEZEVl
qhufYDuW0WlxJx7QCOs9YbauTMcjOTs8m/RImnfLCoFgz+jMMcSUItE3g6mi6DTGMgi28+TK7mGe
8+bdZbam9jTe8/EF30D0Tpau+bLYU00ESUfQIXAGh6ZhNlk+6YERPEDLz2XJdh1U1/xib/yur4GS
twbd0mecJ/YzzE8cQF0cPkh39qAxgBX1Hcc6NVbaCOglIUSyTrnj0fFpKOM0w3CxKlJfLKvUMBwh
PwtcRgYAClGtm+O2ncUzUdHq04AB931ore6rEX1wi4NmDmiLkIQGmznBhII06BzYUu+rJJ7oj3ld
uedTcbGiedh2C2SC9DZVs9CQyKd1YuvkBuZbmX9GLeM/Zhlh3FCDqe0tNPP08goGD0hwi1UTz3T7
hUPmSzOArCkSRNuDU/krnC9S7jOCzE5WkyU3bpV/JWsaXElFA4YkinoAFpZkT2GPYLefUVCIgvfN
tobUiNFrClTL1G9EC8b0lwbne1KU4Ue3K7nJbdHnzue0wSmnmmJcB4O56sEE2q7ROmSGJJ2oAvcj
4LayCJOBfvZ1+dg4Gcf8qoPb4M3eQ0Az+lNHh/HCDtCTo8RZed/qIPzaldLP/hd7Z7LcOJJl0V/p
H0AZZjiWzZkSJVHzsIFJoQjMg2NyAF/fx5lWXZlZbZlW+16mRUZQAwnA37v3HHZxRvHGQHMYVsS7
sczAkKDqHbg2o7nBRM++LrJiosScFFlz1cEk2wPKkkjDirg7qWjkkFRVDyJT8M1qy5UYCnp7BQSE
4Zs7vrcMk9ZmM/J+D5UA3jSOXS52Aka+czC5g32yrxkSkqF1kkIiT7jBVLiczdVkGUodzaBPxpUa
AEDS3TEZSjBhJ5XShGPy1imSzngI4r7e1U4wTjzB0zGgVK+k4uRvE0Yh12HLdWIo644uihUwgGv9
d2cJWoOyTkzXDdrd4L4SjJXGred2SUuaJ0VcMOkZy8YdO3vmoV053o59IuqeDOUs0wSz8ticOvjo
p1tXoge8iUbUIpQgQYs9piH/10MiYBOv5iCy1GvPuwvqbVCA8oMLglib6pLZrGGpEsJDZ1ofoC73
T2ZWeEfh0Zx7zLua7EeKPSv7qca5OQEEgEXjeA0rwXmxipeWLxQKV53lPws80e3WiaK24YAjDaKL
XgCV2DIXIpsdlssCCa0VjURGil/MGyVLP0fFWzy5eXfkncm+rtGrO4tsCGsr1nmVXuz5xkQh02Xa
TWve9dov9FotLauE9ElEooS5FX/ERWKynyu9RpTECvHF55a7K/SG0TMb7avXaebAS4HhLjzYMK2F
KkMo6bKb5AIZ4PzKBlmv+RbLDbEiRr554oDDK6acyFxWteqdXZq4GXOveq1JXuP69NR8O+jlaNU6
4bRqm2bach2Kjc2ET/vgW726GUMZnhkzFula6HVrZvjTvUd2EQp7ZT+UY5W4BCu9jMOZ3tRG0maS
23BAPFpyhvPD2nOtK5bMa23ntex9tbMYY8IsZ+87pApNIAkYdsKTXg9P8VgAXabXu41TgzxyLJZh
b85DeGrq3lhXRueAFICNv0rcqrkzmFF+mnoVnSrLfWFLmB/9Ycx2ZjtGD9wtU7GXVtA9kaKfvogT
ut+23nErsE94/6pHpKesJHh6DSmhjfVjNrgTMe4laaDT5lx5QcjHByJyDr2K0duPVZVBz3N7tOE4
mdNkJ4pxaQkp+O9xQLJtM+jtfa73+OEIOr6C/7o2o9A8ZHrVH/DAS86YoJ86mPbgbOmrik1hF/Wh
LMeaxEambr1LkEDWqGV2s8U33Jux9RNAs3EaokyTbqrYak5z6bCIQn9RPzP2RQoRTSX3rmps3GPj
kgXO8ySm7HZJQMw6DOEZhkv0fHZuMpmHd2AnSE1Y5Ce4NbcnwNGEMS/pCqWDFs2Ux9clUt6ayS4X
Kk9nMsrU5r/hS4R3fC39R6lCk+x758PWUPXyYAcyOaaXuEdE8KMLsp9Ew4tnLC5016Iy7SFmDNU7
8oOFeXpv7LO291iGuNmGNPz3qBMoic6i8OTClDGsyjfql1TXQyPFt1q7yaqyBsp6YT3yeQPKtWHc
5N+b5GYTuOzhfG8RK2keK/i8VzYxmA+q77zBYnegnU1HoxQc5GvcdsLv+i9fju5HJxoWDTQhnKOX
VPkb+KQ4voOQzxHFzNzqq9bhn4jAeLVimd9qzY/OCM0mCIsdytngkZEwCQsHGP1VI/CYsr/XmoY5
8RjSa4Aq4BVA9OOmZTG59mzJHzKH9e7djOmfpzquzPxyrRearVW/7XuMrvhEvBJBTCxBj6Jj2M+L
6n/prB+S35H/NnWSytOZqkJ5zUnpnBW+44YiAwCXVRfMEppYMWbPVIuqfaKzWqxBzD2hYB+cxiW5
2qbFa2YVRUK7suNmM/PDYUafj3yFI7uPV4p22IDarATJ3czO8ikvcTI5OfNnqjNmfTcF7rbrxgpz
onAlKOdpTvKzRUfxml886TWbvw74tWxIthGUqkhAiuWBB9OEzELMGIfwLjIcRB7k4/g34z3Lq/oj
zOlwUIat1G4yYKnArBxBkHmyea/qntBbStYGjKrnXbtRFH06w9BtUccSWRGkFq7jmiTTqrFYUwR8
SduYa+a8zoRZv/Yilj8Ws4aOBFTdu2XeS/YnRH7wkNTzdGq7pnqqw4GvrW1r77YW6ZiCFCCUQUCS
RZONSOfMVX/etBTTlgMPO9Q5TDOKnwHe6+uO4jLZ2TgzYbuwlm0jHpo2c53hS4FQJz8EnGXs0XAm
7tpSekRchmn47Pva2waX3GQp8/zOSe3WXQWKIAhBSk7irImIWvatNYD+E+byHC99+ASmIhdrTgIL
2qvEPFT1VI2biTTPmxl6Y/KYT0N4lq5WUHKBEd89z5b9aprMOdp13JnPEPu9q6SoI6psZU9VuHYM
wk1BYsx07xnOmGk47r2euBrruza4R2hN1FZUyn70uesgb4iHl4Q+yCORTXFWl+RrokOwhd17484M
6QfzSHKJ0PajT9RujP3H0Q/TO+B49E3oF853niOBkMeT8yAbLtQsynQ+NzU8f+uNnvHNFS/bcX9G
AD+L7KdmjeroivccXqK9nWn4D6bO+9ZLFqTrMAF4qtVK1FkgXV8lfh2858G4nEuzNb5qUWaP5iVF
bHe0EqtxDn6BSE6bEzws4FCsfACCQmh/WdQ0Hwr0SNdYhvJ04xLNytbmJbrsJ+0848biKnSQkiUC
PUvij/FcjNuia7q92Xv9dZm0dGfm1DTX0mucrTUP6CYqG9unybCTmE4xzq+LzljjayduHcwB/CX2
pNMOjyzkzRpdNzHuFKFPFafXU9zRZyiHN9JupZa9pJtFB73TypYfkQ5/c2tqrqbEEce0bbjyuDFd
MAVE1pttMnWpDpGbXLxWjpG82Dpg7rYwoXgXgk8kfV6TQu98pz1OcUQjWPTFzjWSaS9UQhkXjO/P
SIfXXbvm+jeHBgm/idOh0bv7uuwTnLOJC+h5Gv3bOKzr84SC/CizBlYbufSD1an8WsYszZVOzwfG
DCc4Gnk0InpeP7nc+3a+UN1BFWH8weNMx6oseUgrLs0de0ge5kCMKmKSq2Cso+vGG9N9EyKFmqi3
nQad6idAyBIyVT84PfTQLQTMA+7E+ZbNff+tV4Fqm6lCHEnOiY9M2pC3qMD0V4o3yNow5va6leT8
IEpkV/Dox89FyO/lUkco3EjfTjmNNUkVHf25JR1lIETgCBTviLJzqkXtRAIjxXGfBEzYYRCNq1b3
H1L6Z/d9aVL7ldPUXgPD609k+ZvjbDQSGbLXmnfewui7MKicOnX0xNv+Hgr19TgNL86i3LOL9Inq
fLEAB80byB6KYi61h3WIE4eD25IltKT6Kl9nhAhfaiodr2bsh2tOn/7ADVY++2Y/faZ0es7+YpMQ
NH2MLzMp1YNvK/dYR8Ry9tSAtaROV0rI79zlTdfe5aXLjKDrD4NuoOTVQBnFhFCDRAg9TJV73ls3
1+NXs3Q3pS6zdOQaNvLScKHEFn/ZuvYS87ixFsNU72ZdiuFBb7kedVEmK8bhkeoX9zmB2TrmqLyT
BQVl3qKGB4O4tG9rP1BPGNjHzdwRNlwNtM/fpVYm9ZY9UvJGo9TPTveFiSfeFVqy5GndUhTjcTdF
b+6gKnN301omRwuaRIVQcVVBlhw348XhxNPIueDdKLd0AXE81YNVUvyV3riq86GiOm4HPbdwS1KH
4NTGadhwmo++5OFpkxiIpIIi6oOnACPVtLbsquJk0tusaLWAqrUN5dCdQEuVLWn1QSOd8cTg2AVm
DPwj8bkEbfkSpWPN43dOsClz7A8b8AkVnMJCgm0wx9ZelYyFs+UcB043Oz8oOEgEy5S+5JqUuQIV
aKePTdNV1QG9ndhCGuubrdAarjFpvGPABOhITB9LF37qCnQplLWDHpB8xp5hbVleazX6ONEYci7O
L/BJxiO4VF0DQgnG/aV5TIqg/7S1MMzoUIfZOMTai0zs4hUrAPdt2HHPK851eMf8CAUZra7+0F28
ZPE0Ew9wLr4yupxLAMy2JHPhXJxmQkFPfaHTYZv7hrsmlPRIY9ZxoSnV7FJgqPwg+hBLWtSZCwUZ
tpa/Gq1RExByX03SmMS3Lp61vA8wlOCdvWKCg4dNECOHTNJMxZWBLrN8UlFP5rvX+rZySsAfQkZA
67Zow1sKgRGEwcyHHGhSWMoy3EqOb3uH4RzM5SVFFedY3nLDobP9gAuHSk4pEqd5DGuXo5nx1IhI
nCjXdWseIR06Zhjp+Mghp+OSj6hODkhZLG2vK7JBvDKZQZfM/YgnaQx3VV40t8SC5A+3jWNqqdqF
N0mseJb242U0NqODFNgSGT+0aPQsArvMdkINlrVaBgYrp7Hbfu3TSbEQezTqJsu1mE/9JukrJL0U
MVGr2HBdH9SquUj96McT1SXrQOQqdSc+7h1SK3zpZtk7h+4iBywvosAxwNDd5l5P36tthjcnYv2w
G6lJcs/piuKJMnXlrSNtIAQijVojLVsu7knJGxNfYZj7V9Ir3c/Y6FCbDMSl17k2G1racTgHHuoc
NymnKxU2/ldeWM0rMmnxtvgVTc24TYxzLbBjrTuWtUAsHLIeYu55hE1Bsh95Ei9249LkxTqah47j
HSgcuYYD1pBsSUT84dJo3lfo4W7BiQjoUBezYx8MJHpT4f1gfQ1MAxFQfg2cSDfceOZ5yzrNMbd8
jCiZVkeWcGQP+MpAjFzMkhVrjoMC8Uz+vuXssbahPBf8SvzqhOIjpv4mtbGydHIXa/pvJku7hOGy
UhfdZXZRXw6lhX2FOugESCqa3kdfazIjVttkOgKQ8/4whXzXBC9iWgFs81cBFU7aHzlPyQAbrScR
CIIVbk87Jro4Ov2LrzP2UHdCYliYW1yMngRDsHWVo9u3V2GA9DO7+D95e/pik8eTFoO6WhKaal1o
WVFfZyACFqwSTrVnWlt8V7K0b6iQkg0v8oE+V9kFrX+XDjFW0tDLXqUyYRsgN/X5Ni8K09wIkDul
7gAUDKsgWIiL+RTcshxJR8XhE8YxTvMTkGT4ylb2Fc2qZw5i29I+cZ3AjxObFjxJyJzwN6hQATmL
iUY71+oiZ02h4v5ovaF9pvKVcBhLS97Uua0ziimgqnWcwHogWKa1rzlI/myFwRUdLFbA4HoiEiP4
2GXiNptSrS3n+skFm3wfJuuLXjav3NgEPNKjnS1+U9Am1AJxVo/NLTBMsi0goKd3P8qArwRyeOeT
hM62NTHbxtiehlNjauutMgIn3BgORtzIAl64my6i3CginrHmtsR1ZboIdTNndKmj1YTaEYfi1QH4
hRfI8EO1d/28IdvTse0aG3M+gd4gssUpklhf004SngTIzGxrJ+lyb8sob/aCJ6OWI1MIBdTkM78d
tStYUWRChNlTQJNmRvhe5fC64YKGgIG5qjqUNZAOG7Uyh9N8UREbkrsMESOtKGZ9zjAJ2jTXgQVQ
y2239DzdF9pvnCb+XIHzzmoO506BAoAqOPs/U8UMi+aaLziGuBzddEPlRbuitH6NuQHGmG4zk0fK
fCvXqHtKcEnWwxFICiKRRtHQUu+4bMbAO6RxH3PUEC92ugDV8RGIU5bqWfIrazR2HOvd9JfrVvMH
1o3WgyKBj40prgtjoPLkJlEBfrZCzIcAmNS4S2DFvDTp0FxjtoxfgObxJF2JJjsXsnhrDCfa1ikQ
q2PGTWQLmqVfxbIfow0QzeqThY7xXafN/JQV4WBsklpzQQIuu/N1wa2wXU2iwPtsh5M4SKVn2fkY
/uBhrv0yM1E+L+bUpuu6Ud2Ww1pyZVgsm1AJ6e+ojwioOb7WzyWF+9MypNoxtSDiyUDhmpGOu84c
bzh35mzTDC1rB45ooJaDwxv3AT5o8xAtE5+ALLfSTWLH9qPmGbDgAQ76lAvbmq7BjjW7hflKvFtU
QB20RIvEWKZB27lDx+KkB8HbN+NjNDra1pWo7JZhQ04rfcF8eGocIg0HODmgr2laCFBduW3R/E8e
E+n6Omoyf5pRunVwy2waE9mykEuhfrCQwZwQSigHko4397Ys8R9zjiYr+LhwysE7xU+tbYknnkXj
ZQ10NzDWJqso8PO5lK+Eeepf5DRpWzukPeRadGb50+6Aw66FkxW4tiaG/XJI5XohB7hyaXoUPFGS
C9xflo7/v5/9m/0sQOy/XM/+d9d9/qFG8Ntf+G0pG/p69WpzFIc46tPgYY//G1pUhP9gOcO/7bN6
de3Ln/xzKxv8g8KZR/fD5y9bwmFV+s+trEvFQMcCfCvwPCcgxvCn3sBf9Qh8zS/93VKWyA65Xl4J
xmgYuLyWzoj8LqJVJ4EiqIxDOsKwp1ZgDhNryxbBoUdaDzTMBImDM+5RDIQhcaRqPcbM8ldRn2nC
WB9Q8aZmHrTQM3uL26nJaMwpvYFGmTFEBBZm1ziIsB23tmW5P2eQdTCgqiC9cr0CgUU8sAxzwzE9
+gzmMlqnZ5e5wH3YWZzF7RlRuG1U8FrC9NjF0XRDz/1RuE235ic475motkgN7P4m65jkCqBUrspI
kTpXAbrsoKEITD1iWcPmJWtOmGG9tKLeBXOOBzEf7C1XF5jXMrxhaWPdjkYX790l+WD3ll7PGBQ3
mTH668Xswl3tOd9Aa7y1GrsfVYnlPW9AhtDoI4o5RfMxYwFwv4ShusqpuX6HkmOIvkRSveg/g8kQ
B3J5oDYGlqGKrcWNSP2f0RhYt2hyvpdh8HYmfAZkEMatT9GgzpavkFm1AQcHudEr0d1rNIonN8g2
oMyuSh7nU6ogySqQxg8X0ekumpzvomj2HUujFSN+sHhzDXbeeYppBMDp4pbIWCjalMRtVtLCXc+O
h21w8MZW7pS1PLgKeHGdQv8xTHLLokogoTPAdiiu9ba0rsqynmHduQAOie0MRX/O20bfKumubd24
tA8g579mZRQbrkPm/eL49h0uRXtNCGj4KDvQUavaH+MfKA9BV2QT/8LA6rGyFCLsdjD2xSDFXQmJ
6NqZ/Jl1Vs8TFXBRSaxzAg/ZlOrUJvkdT0/cCluFC3duIFOi3OPBDTqGlxb9d5MPkFaF8WDJ8Cof
ILZbMUdG6PdoiO1IRWD4xDmvg3Cj/OVBJPV9HujAsArApKTq6MF3pbnc6/t7Htln1iWSjNv8g+r2
tBNG8QHlZrzhSeFIzI/D7Gh3+UMQDAxHmY1cT9DMVtIXOydr1LYiv7+uuW9f93lwR6bXe+jjrrNO
QYAehENQZclNNRupswYpUIJeLYuBemehYmMbhGQgOS3yzW6KhrXlKvO1lN0HlF1s3SUqzX2eZj7f
sJHZPG4IltscEjsmBISVCaX7CxO9AUkiZ3BuyfGWpsmM1wIbpo/pto4CGhaRGrbo3ymP06EjWVTF
jD9PhsuwlQFK2PRQ1GAiELR20+bVyLM2xRaAMGSBdMaEZ8UNizLuKKrx1uMJZz5Qlm9nkN9JoXZi
8gqL1nDbQjW1pVcfc68w6l9NDgSQ182wmtCHLsJ1bDNMol8eVYDDIvykW9q0dbmOR5NeSuL4M5Q+
TyosE7bJiisqDdF91zaNiHVNWnEEuj7ja2ZQ4iETjufXSvGJCfssOmNOEPMm4zkV1RQwg/oAXJ1R
nT0C6kHSQbgUWAGWxE2Qg2knem4wBHa3EBdiXeXhE9ILPgrAA7ijV+Vjh1jpp4pk7W54eFCQ37LU
ys9+nZWk5AeXWUoJDCO+TfKK3747N8k+Hie739r0Hhnx+GJxNuy2G/S0QxJYR1+2ffFDtjz/7kI8
pjmEA4qNjDas5bMKmRjTeU0ewgp9Nz5hXnBo8g0idCazVUO//zhHPBqu5Ag8C3KYj7Mbk2macMRx
+09V1YNLNGOSN0PNgypQgSU7lpO/fArPWHvQbxiwdU8ZE6Gkn95ElU0ko+X8DtpV7hasdPdOhrlu
ANKwi6uqf3ShBO3Y/ov32JZtsnJ6d/lgOf2t/AG2rzlUL5HRbmj5b5CXjKuyHftrn3+X4i4oLdhz
0NHGEp/TmDvIySJ+ouMMaJUqDmUWmsXybm4LoHDJFHH2UE1vszekmLllWFWgLFiSl7F3p2Dn02h+
BC5QOA9RIWmUFkEgNoyNfBrIFcjBue3NCbJQykakcCXsLbPIk0dqGwC7/IJtjEpLHDeiddOnls3S
+BHXC2fLxZqCZQcoqvNXBARXVprPh1xNX4jKI5BwvJctUgcMLm0IvIg+Os1k7sZz3yNvdo0KwAjz
hxvhDPdzPrjHiCzEvcAjtOuKpXo2FjM4GWExvfO02dw3hom8eZzD8KmjcHs/R21ZnEcm1F+V43mH
IV/UMSIkbxChEOUnhjzr3uhCyA92H95NtKx4xLYy8YVJZHgt0jyTm7byUhi2GJ1yUrqO+CWKBXfQ
PKhfUTLirE2B1xQUW2TAEYi5smbAJMk2qIku/AK3gXkC1JR5m4+jD0yAcSRalWzP5gnIIStGvzhZ
dHa5KrDMMqqwfapj2cTkg1X10w5E/WsMDPWmpE2RiF1PuPG9EpucxXkoXaXTIu+MOnVu4gKl3U2R
N+6TkTmyPFXNJHKS+7Xr69U73bqQQu5bUMekR7IunPZZE9U27a+cdrjRjvdEmqg21VVxqmg/Wdfw
jINn6N7exzJwByFlxEUS7VP85sNMubfRWVSrYi6mm3qGCC4ohRwiFbIDiT3rmtp+fxxdmzVp7MbV
xhuURlLnNPt3omU7tl6M2WWqGC7d80SQ9jaqWoDf7D/ksPLjYoH9b6Rs3Je41ARFTgWsl0wYHYO5
zMWWFnx91fXTYO8Wx+m8+5aGwlvZxbzp6jjWMoNxxLZng2JkyE8mYjkKtNsRgALbaA8miOyYN6bw
q/uRIhRrKj9K7Ht2WQwqiOL3I01rh5xK52ikaZPwrUMnL+J8VRo5aOdUWLnao0D34lNaGT602kqN
9xaau/jKbRbPPJH7WsqtCQ1IrBsoWGE9NfTBM2MeHiLO+c1LVHowQ1CeZISKKPg55rbK+ciHSRLi
uPPHm5xi7V71MnwiD+DfZzy5wAaJuO5joUpJtC/OIfQEzT07BQubEUxzlqI8iKAT+xGdNlOJESC3
kXXLieOw6FdV52AKZjrIgKyQjeINMRInEz6Ui4n5PtNq87abqV+nbfRg8oFft10abXuf02xHWfsN
M7O8BjsUP2fYhNZ5xw4QaBEnNNeLk5h2GHeHxaBNSWtcNqe2ZknDONXNwoM/hYJfa9OzOsFp7vZn
CLbmnegC56agxvgMVGSS+yIFRbuuNVefAYzv55uGaNrREJGDI3NM+TVTBIu34TwMjxMGs+ZozSK/
Suwl/uY2x8UyapU3rUaVOPGhSM1oa3H++Gwsim7sXYvz4tZnGVi4uEA4AhpiukBz1DvVbSM21eBd
y8VztpXdP8V+mqOOwRejDG/55IaRPcaBXXw3QzPuZS4tuVOOkR+tHuXIiqOM/IZ1xiNY7UXHuDDV
oRhLblANsS7ADSmj7a1J421HX9AE0+1wI9iricf2Gy/pw32HmDBcsUhZ7nK3Iy7Rz/WPppt/MPHA
99ZbaRmuEWJ7kIScAl+axb4g+5tk9R+D1f9+4vlTDNWBZmvWzF+Obl1IlIpe1yIINLKn30V0z7/V
An7feP6/XgY1BNBS2w8C6gJ/PFiNS1nVUWQoVvqt1iXGcQbxSrrB33w7unTwr1KC/nb079dCQmFy
IuQ///g6VmjYvYAvfFyGavjM9B3e1wDpVTwL0hKTkac/Sf9gO3H7kvbmX3+X9h8bGL+9fIB1ge4H
jl//z98m2aicTjNkWpfx/A6sbf9oi9LfufrhYFRdcS+kI2HLufN7PtdoHnmaGE2iuzxd0E/nMYM9
ZqEfPBhjG/tlOrNRrY++I0n3mCRcoWksfYANT6UFEb+WS1VNgWvVZAl2MS/8m5LHv39DnIRNGEH8
YIXt/7nksWBNC4p6aI5L2nXZiu4nUqWxpna5HYB2co+PC+Ec//rH+O8v6pg+rSyYvUySAvNP78k2
or82MsLkRePl5NCYzsv+nYT0Fdwp+R/VzfSvjBezTN2B4F9yXT0S+N2RPw4duypE2R/Vkhpbhrnf
U27sSnPq/+a7+vePAJwDHkPgMDDkcDz95797IbvsoLNKIp3pUNr9nWs1ETdOiELD4a9/fNb/8fPD
0MIpksdEsu9/LgyCz3QzNtAFODjLvyZvGm6iYUpi+EOhM2xyG+jqPlzIMXLLU91dTiHVPQtdsdWP
fMPl6a9BMrHpW/ykh+nyfEjTlGfFv/5S/+1nYlk2by1wtRY/Fg8MxB9+JugR4r4lpXPMk8QMjo0Y
+vOkQzC3//HrMJSk1kN+n5cJ//SzR8SFYS0eCKPhiRo2bWBXaJAjIhyX1/n/oeDfDAUt33KFjcjk
d7+WzWf/+V8/K1rB8+1nSeUDuB9BKMwBn23yh8bHv/7y/wqIiES5VMqo9opQC4P+OSU0/2H/9kvU
pU3tG/pXd4NRIBRz/UEOec8zEPzfKaEV/CMgEKDpIFREAuBG/8mUMAj/WOSkusF7FVU7PBQe1ni9
P71rzShjJZeNE46sOrFJTnPzVl0GEGDmBGqzpl2wYSII48lyjHXoMGDyxoBtsonL935P/jakgFkp
i6v3ULPxGqJSnrhwFI85m+onz4qSYzzV49kvq+S6LQMiNa0XlPtugrQeOE1ODa5LviGjLYwimduQ
ik9A6JBOKV6WuCpQchQVTH10BCObAJ+cmYrmex+in71ql8cYzCyPbyw6y0Fw1i+9LWaD9joRPH9P
grjrju0NAyMIGX0PhHw21L6ylbxNax2bJPVnPkbMld44wcWPtV0DpzPt7EsyRbmZC1mC9ibE8xXX
jBymhFt93w/tp7IZpYWEfj0gqikHL47rdWblNo/HUXWeoPTeNUuebTGUkemwJ8QyhB6sEmFO6rT2
jiRKDI+U7NoChvNLpGIqVxzgIzSCIs1PMvHzL+WHy8Tqvgi/gcPGz6T/CeFmQRixrQgAqW9iqO34
PogRhextV6ZDkSDLYvsq4xewBi/trnsIUtdERzGwVlEE0WkCZrB0FW1aZJg1wH1JPMhdcmfDPSa4
GXyVfUI5LH+aoIHDfUuI3VjJakRLa4ZzR1zXImntdagC0cDZ/BzGnh05o15WTIZTFysb3vpNL6Ai
TCHC7KQjqbNGVM/GFEwuGVInQAjZGnXyVhalG6+QxSQHp+N1rNkhPMgAQIRIB3qe81lNVghyoxZd
YRJG6aFIzOGb1ZpKdo5dT4chNcI923Fkynbsz1u7GQigBw62ny1bnO65R0pzZozmniJ/6J6SKqk/
YxKseEN6RknXPTiTZh0QOvghS29+R+5Dsc5LqQeuQtQ/H9bQV81qoS2c7zMy7Y80+sOz61oAv5ZG
hacsr7tzmUjisqJKLPhmk2gZAVTTS+caFFAY5Bk/hybzvI2wrPaN7FRJAtiv90Ag+XPMV+qJhAyA
ubgvBaH4nngD8iwykCvysNU1s/mVrwobzieHjlXMSOol9FmVeX29wEas9Oc2RyotEmNcu43PvIsy
Inah2MNfEpl2/hXz4dJ/NWJe57YFgQAz7SDFu6MvjiMTBEyungF7wi0m8zWWs/nm85abt6asl30Y
QVZZCXKq9R4eCI1uR2JH7MxWWcyqEQwtHWprgBc/o8Je3lU8bcEOrtGZOj9qHrPStclo8csLppL1
gOVO7xPs1Y0ckmlN2EI9TWpoTolwaPJ7rn1VlQVP2R5Pl+s4AIUC5qN7XbrATRBDQXqzBQlC5sz1
VWAumCqdGbJKNTfVLp8dH+ynYBY8J3RF5mVbE6BajwrGSOMk7X5gK79a7CB6Ce2spOLl8BwBq9xH
4kUUiRxI20gUNCWb10U/MiCkhw1fqqms9YDPLdd2ItOfjOiS5wU8/jXdCQgusic/BXbWVm8GHxRr
J22nZUkt2bKXTpagzzYggbL0p7sFts6T52ZOy3lXDRnD/XJpJo0C6lloe1xYhsEfbikEAMGeIWQf
+7Lr3joz0Cj26jsvx2zYVC3X6RF+7HUS5mx6mOvDRVxC+Wz2dnazCBt7QJhM46sbxe3JYe3zbo1B
RmLfw1Q+2CAKeMNGYP7KgLrOWsol+NHB/T7EZf/DlKnb4B8aKbvBWtf9skJ+u0YcsPNpB/brCLHV
TToQqlgzYpi9TWdlWQdNexDkShH8ojfwJKE+6NYJY4os1kRoM+x+zhTF+rWa2IoQFBl5YC4PENPl
VeSn1V3JT4pEcOMt8PxUkfd7u3O65EC600ZKxoTxUFLnIMgU0/QinOzTmWfnUHBoD00XUZrZyl+T
msWViZtog7C+G1aC1fJNj/LisTL4uEF0SqcNpnj5DnfTdGkpCXHfN639Mgd1xIdO5vbJTGr7mYWX
ZDCViSsBw5/oVNAb9Pma2LlrelHdUbwMnuUcEMkJcfnRNO7GwtnNjZVrlct4Mwe9v6zdyY1fQmsw
y81UB9YvU/Jcec1XmDi06Tw0YomYxXuPDAneT2F3N3xuvfIQubS9VkwK/CeuTe1pLLFYKmZjO0AG
wWaK7IQRjYH6iFAD7PM1gWFrZ8g6PWVzFLzOOjNR1FN5l2chFiYbVWWo6vSMDhEB3mJZZ5JDNfzJ
RL4MsZk/N6HTbEgKvzccrp76ZnTPeTHbmyHPnAMZKfNJmrXxk2IGZTjW9MOmIbp9zDBood8js/FE
nTE4B3X6VNemcY5q4CL5XAWUj1nun5kBWdTpGjp3aq48mmwhi4stPH1guz0/NpRQ6I2JFxdi0u+E
wmk+UYdEu+kC1Rvh4uPggbSXaOZer+l7o+bwETNKN8YFzldpTl/tF92p1Oy+RvnpR9q376S9lj3B
9IkoMSvRwC/Tz2iYSZ3R/3oQgar2BC119TCpdtKA5bumiGtsK8XqbB4SUDF2R2bxJvDK8qNIRgph
wrInseXgQQ6yak33WMQNF5cOtNxx0D0xudAYq4wWbVJuIt7ogJKXGAvIw9Q5GYHOdfYuF6B1DRX3
yePWAgKxcBizKpWzVMN4t61N1X0uVqZuROdE2ZYrQnIkgJygEh/tR9MdmrM1hIzmespkUONH/9Hx
klmu8Xnh2+4c+o9iErf/w96ZLUmKrNf6iWjDcXDg8gTEnBmR81A3WFZVFvMMzvD0+qK1TVvSkewc
3cv2zbbuGroqCPz39a/1rWXlJn6u+oj2EzTXgmpwt/hqFj/6HBdKbwYyxn+6tsBYyDNAvV6NWxPV
FKvwxD/pDOp447EqHlJic5heJB/xRpQs4LqewNNmsOvl3Vodn2jb0jzkTUUFpN1jG6IfTsgvbt6m
CocsTt7U3xG+iYoP4zI7XXK242wNe2eKor1MXCS6LAVXdvQjtydyt2TqXRt8I6sy1U8uKZX9kJfi
OlkJucHB6Wm4GylQPKiKPiVVFsNnvOT1Y/d30tCCuX/CD3Uj3Od8V9Ftszt3kcsdvrhJB4Y0xkcG
2IlU8i2xmCCVEXmd9EDJJRZK0n5z+y6trHnw+yzfAhleL96oaDjm2IJM5rQdn2jXpSu42NL9Tf8a
nM8hsZaLoaPq5JNRptTYnzU1GgNbQFaNv1a8LeK2nFi+hmTAgI8wCfNqafRPrH4ZfQeS3sYpT3yw
kuv0qPNBjP/6p0SAqoLGbvWnr90XectyTuvkvPPllDYB2qp5wMF64weWr05ePBW4+qFzkQX1S0Lb
jcR6hI+X5puqJMMYGAvM3EpafPBRpPx31vGcIFGDLhQgjZEydS1PvmUqAkoq6ptaTHZFA7O45/JS
3PVkDz6QP52M/Env/cpvAdY1J5MTzFxsL+i34LjJWs8EURZzOdWz1KxcfPgIJ9J94EpVHC+HAR3i
V1TE3T6qTMVxZUwMl3FDBQixHs+/VG28HgQn17dBEOyb6ooOrxi4qGwzrqbXharks944miTL3qr9
9FXTIYRDrMg+VsNYn0y/jOROL7XP2ZboN5Hj8HdxCFyo1Fsf1lQO3/Lvw7eLMpazI9EoTS/d04Lb
6udMVcS9W1XNSzexSedurjZJqdVXUqftvMXencgtETyXzZFaxo1eLXn1cnfCiRyzaErSpeVzLhw6
V8zKBkc1jtl6nHXb89Joa3zVxWg5H4Tw2LyM7cCq3qSZFd6j2fyyjXY4THWX3td4BB/TcmrfO39N
fvet4x+A3Ys3LW7I+HmZ46Ovx37YCSoLU9CvQ3ykr2E1jjnm04PlpvM5JxwpNs6SDD8SLslUTHQD
LYqJLJt9rtiNwjKGkMKVID0owKmHZjZbEoIsubfCSZhDF6j82ImrpgllA8MwyCJnFaRUDD46VfdY
DDKq4DQ2xoJth6gfCMrR1YNXlulGjtneMfvs4DkVUY7JENZTzJN5YLdQ/cSxQoaRW/bA7yDp8x5t
aTybZFho3hTdez63C1WXkh0GpnP6B2W0Bo3oHf6NNhkxDKs+9yZx3NqPyZanMrkhe4s6+yrroksO
1pDGV6su+SMQZnDpsrCz7HH0yz/geJXk61Lup67IHgx24zFJ6rGGaUD6K05mQWRkMcyXzIn8J/rR
1q3trTQ3FMuocty4moEEF1p/6lPYx6FabZtcU6+aQz+0ZkAcNDW4mlIQwqGcls6hG3o+GsZ4s/SX
s3am7jRwIn2l9HGqoEpvxePUJ7oY/gQtjWEyDKhwljPMmOEGnGp5r/CFdBlZIzwOioyrnbAmpSio
y/X6u/SE2q3zXA63MbJstu6YdF5AV0969JEsv+c4r+/jLudNYtCB+UikzHwtndudYsAPEOJUW4iI
e6K7YpSVd6UaooNl6uqgc5eY2rgkLRvkcn5DScc0j2W3PhpsbX/go7252tRa3JbWrXWUHQ0N7yTl
EYW1O7HS+l8x62856v8lZgEBslwbgNR/DyEJkq/qd/p/KVn/9jP/Vchy1V9/83VsF/HJtJWHUvSP
Jm31Fzs9y8TKIEniuP9kkEjzLxQnZCzH9iTOTxut8h9uN/4VbJQb5RYxU6CZqv+JjiVuMtU/dyVA
R/jW+yaXIf4rTITv/4QAGhPFnaXMlr2auvaVOh73g01ZfE/XKiFDTOvzJ7eIn1Euum+vk9WPaeyX
QJGPGrd2P8HQ0gDrcfX7H53gjqMZDEOBi/u3U8Tj+/8+jP9fD6Nz80j+9w/i/6l+J91/TcP5+2f+
m6LqKgdrI6QBlFr7JrT/80GEnSyVwK6I+/LGofmH71L4fwnFA8dKjWf19oj+4zkU1l/KQvjEeOkw
tZj+/+gx/I+ERdTU2zOtfPpSPPZLdLz8xx2A4ijTYswosxnjqX+mucl7WV2jIiBK9caVwCbwPyCU
7a4yyZvZ5pBtCwb08N/9tf0XG0q+4jdE3L//QvCfcftKwPfBncrN7z8tD01qIeEQ+5DNue++5R6Z
TIa46Kjx8L2MeerfzdjVSatsyqimL7ceDx7VNVtABc6Bf0SzqsihBOdJ+YNzHTLpbU7ZFCrlFh5H
zoNJIuK4Wj2sVN8fL0mWsojMWiffQuOwHpMe0ERKAd/RS8ouMFpjHYI5LqKt0eVTKB132VZEnwJk
vOlDWLZr7QZFRDHzFv+sxtyBlGNpUoP8eNCjI0gH2m5odDQqC9yEfSlTif1UZRjT1n6QX4CTintH
FhH5t7YghMVkcp4VhxtGsJ9SDutvkXfOCyhvH++q1JRrTP1DWuQoLlmSpxQDT/VPCCv9kX1gd2XV
L05mLTirE2/cKdxVDzFlCaFdWYhhmTwVdXOYU+aUkrn/daFwBRsf4ceAHan6EJjbMASY1msy+cYO
FxeX4kqS6MWLjrQbGzt+iLmf3UiF9ZR0hx6S0x3i6XTU3i0WtXCBXOIFJ007npfBSC9jasfcXtvb
Yd1aeTC2FdKCOznbaLAJFDhqeHFaswn9tJYhdyKsT9XkfLhkerfdQs0jXnPz0PRy5Y/WPtBhsmxK
2jPu4zLPXkbSFe9cefQuczrOcvzNVGLTMNLWTRZIqlp+t2VGK2OZV4926ZFZi5Qx3k9N2Z3SWNoh
lKgd2NR7O2mxBxpnDwl7F+Mm3WnTvbpoX9Q75bHAdpvuLeI6Gy4EWCrzyt/nchk2PRMRePOlONDG
FVbRmgd9VhKg6B9wTCqcbVG7ccFchFPZpQciJ0nYDF17afJ8+Eix6+2rfkDQjhGiSJkYP12gN1tP
V8uFe40O/YnnKeWx2tm3+uoGX8nt/6nfcYeRYZqb+B3oNeWbgNqWe4DP2IZQgh/NmQ7AsdTzlSKw
NWgb2o6mtUk3pV9d06LomPrHdd+wYXgsCkfti8JeH21G4227UuVRSlQVrdb0IUeDv0phxVtppc4W
zU8dk5ZR0UkwrAEYtwLtDrCLp6Z5Kyop+TQRSyqMbNuKWVROWFbI2ZYvkY385i6dG/Jr1MGYtOqg
Z38FijkTnHUGb19VMU5oUDXghxEZSEj4/raLTS+Y56gJu5iMREfp6ZbaOnPeg9Aye/qmOhqGpQPi
YiWZein7XIVGM7tyU5VLyd2zkKclIfk8YuK9pmwBnvQMuKfqL3OzohLr2rn3sAbsswIlH2lZ3Mce
iGxeMii29tUcS5jF0FlisxrPWsj011J3yR9y92PgFwMIXn+N7hYx0SPnSqpxeOsf5FioE7UMNLNP
9nBcK+3soFqoK7kiIu2jEz3FFUWrVuOlJ5UNzmGYxvFXZxftE29mEtbuDcjRjsB+XGpg/ViVCc0N
2OFhQsUqP0LkD2Ye/nYTueO47J21LacwiTN8zX3TjrsIRNHO6X2v4XZoQlcdu5jeiYl5IenArGcx
bJaEOyF35ShOAlF17hBarSkLQsaaGmshJ4VxN6LE2IiudpnWa2A5fo0mTXwVCmEKreCTMOH4yH2F
G69l9t1bTwMcTS9RfFVDV544/PQ9ZQHLjnfasu+XsTpREpN8NhRg6sCLO77XiUZrgSB9K7okrh+w
B5zlXdLkzsm17cjeysb/XnKVx8emqtrtxIbj5BWQlO3UHw5rVpf2Rt9s/ZXnqn1FtxEIZrrI/qQ1
Yg7dm93wB99Wv4lo6/sohT8eGlVfq8R45wLWI3JBFmT8Y0tQpdjlmkL4qCHKH/j+r/Zn4ebKp3Yv
rj/ssiuOfrbwG5iTe4ym1AuWsqyOCW5u7GBWNPfB0EbFA3UzWuzLaLLno8oWDZynjET+rVCwxyea
8OznuCFnvoMw0Xz1fBW+osiq3uoiMe7bWOGgiWoO6K3o+N1Kf51em4xEN4dUZL/FGoR/6Rtndhtz
dAZNQJpRTasKnCE1CfBI4tLq9vzHuGOgvnkAXQBp9VDYF/VHLJbzxFHYe8cJcT17HPoewd4V6fNI
fOk5EeNM9apoLeeCdNv+gV+PiS5JXfWOs1ISLPKW49AQsl1Src6EG7xvv3SFvYksMzsYWBvuosym
x4FAVfuM2qvuq5m/1Twv3L0WrY26ZrSKbkbVflIM3D7ZvK2fl7JtDxnR/13cx5azo5HMo1XR9uZ7
ucLOtJ00RoNidpnsiP2mnlyARmbhXXsRYUnUOdXL2jtnFhKIbbPkMHOEceLDKNfvtd+ln5OTjexj
m3TtN2URDxKu2Oj8UGbSVtcMHbbeDmmFLNMXnrkthNH1LF988cjaioCqMOLHBCzUB5h68SqJpT8T
PClPLBqdnSXn+hoBLgdU5SdHppocUV7zSzBrTVlIaFtjNkqnfUtkBOal7ZFq8YxHMBP1XrRjH1TT
Wn8jclg7j6rOhTVhpF+7WVRZiHm2omCnyqmjyXG0bNd1sWj4SlglB3HJejET0xii1xwp3Zl/EuWa
wrpbkvcYL8w9DUQljQaJCKrSlgF2cCqqNednCaoLNqJ3JCm8XkcqEcOu9fsmkGZpMIt5+3nOECJI
nCDgBnmEe+3cEKxE7Yabbx1cIhHTqa+z5MQ4U4eLJbLkhbFBvdj9bWPmNZzve8rZxUPeEiWbFqjx
Odtk9iGd7J74WTsnW9J9hwd7CbBuhqowXXoD+mVLuDQuw6rv+o8mUsTWM2c5iswadnjXY44j6e+q
FtpvjcAAjHGNr3pdnN1g84zaiAV3yoC2k8Yd5l52JvY3PRVzV33gev6KHOomZH6y3I9OT6DWCx2N
G3s2+p/Ml/VuEA5bLroa9LuBLv1QdGm2lXlUkGfg+nmpCees+8UcVRb2ub/3SCSEpEGLPYqSfcB2
p5CKUi8UldLtpablhprrUWzEiJYxR6ZYHug5t+pTXa/OvfJL/ZA4iUEIWRbZGchk/qLHCFgQrY97
R/fFMeupTuZOKPsteZ/lW1tl4VK/MmXv3oBpkerALA198kgyyEzJnnESYM62delZ83auehDl6IwY
nmvtuMnR6+cUzbqZ+iCKSnBqMziLFbvmjhBAdVe5o3nJJrdFqR3zt5nVj3WC5kSsexJudPCjqC0O
GW1xdx4m74YUPa0MZkoyRAvjoKUWP0H8ywd7sgDnd6AQnnnbJA4P7ogBO5kJA+GLxloc6VMe+3d0
bO4kyYctQ0+zj6MKdIHj9BtrLIyvFeZAv9f0vrPZyr5aafhX7J6snpfVKr5HVPRrzluR03+gwbWb
bW4PhKaXW4tAde8WFDn2hjbfGkA9Dxxw7ZktBR10vjHsyMmNO0wjPBP0V/0h2FBsUerc6+yA9ILJ
RBqmnlzBW7Qx3gAT8A5Z5iiag791clJBPd2dTvu0TspG9xoseekwJmBpX+cv6qujx4W3+B5+nIn/
1mEsE1URjEX/3aG7EzUw29B1RMPJGUcMnSu7fTFdoo6hgFq5M/i9cpstubvVFHm9NqgqW8VBA+m6
Zb2SRu79As/8DfjXpbXUsOvZ9u+L2upn/tTrcNc5MVH8vHN5kVjFeKi5Y4R+nFhH03aWR5t8DHid
6kzM+VVZ5bcReddBe1TKCFiNtLvTRZpUE35vj5OJzWntIu2BwVuvBUSfXyQmxmvN9LUZmALuEpIa
B+XF08kVP/MJDXYY7F0O+dMEY3Egr5pwl1onSluWcic4kCiwo+83C9I4PigWKQHRmE2dHOcU7NKi
7jBYnPM1VfexG4szEfaOCIykf2htnCYsyCczMpa/vamlq6HX00vDl2lnw90LaGEF5o+jMkw8nT/G
rGaOURfbZ28Y7UdblN5Jg5LcEljwQ9fw0n3Et/0MK2AGWlZ3ghG0IqUzFk7gkjLYGjPYUtpBDlGh
1D7v0pPH4tdMJkSZZA/yiGeaDowKFZKpIz1FAAmCzsrmc4dhN1wUZ9NmrevxKNxSAC6BcRFDQOyC
Mu9sglEzeIH20JrMEKutPYhoWAVilRXHaC15/6Fiv4kILDREiMXY0rBoEBJo/Q/Taew9OWbx3iGQ
B34bF6dmXkf29ehNOCdofpl8fVh1Zv3wpCcJ+q7NExNwRs1gqt/yKqqPsmqIrunRecrXNudd6XjJ
xr7BP2+Wj3vArOvWZGj7JYTgCi0aRFt7qH/LpIWlYlPoTgStLyMnXMzopzlz9v1tgaIvFSPMS0v7
0dlatNqwPOwPxlK4x9kafZoJJ//5VlIeVnGbEadigNVuJbc9YdXQcRt23JUIqGQMFb3cibS5RZrl
Ew6xnDmh6r7Q4e2wJFge4PM2juwRDxT6GSdMR+WWlN9wGfyhP7l+/uTQBeJQfoOTpLvUFpsoMp65
uYUIurMG9Zkn07WaTHHIk/nZA88RG+UTPpgDMt3tWILGwH4AG0vZvdO081GWfmjp9KtD2CBvCO0w
xmfzdAt1HfxB8WKnvvTOzieL57irj76XnwGXljTv2etZweRA4cPPcIt32mwCiVYlxSEyq/Q4DUW8
l+B+TFlRX7pUkDEKLnirNghoOYzhR9PhcoXbOv/F0u9Wze1mKyDQSoXZyDvSMo1DAhsndKD2geel
eRpWVnSeC6fcGrANDz4Jo4jUWubegZyLwJu4OLA8feyKnEZZ9yjG5CyIWK6ybLeNSJ3XpnEBMtmu
fMW3BECg04O/dYjOrvucDiYFwm+hKcXLiJeu9By9GZNfhJ7kirIq2nbpQ2zOSW3q58YtH27doNni
8OO12iZWdhrK9rti03pf5guGn9gzqy0v+JNJnqDtRLlDYmqOyPxR0MqZjl3ifverJXSoXMv8Jfnz
gXYfKRxyq9n+GA2vPerM8x5w4ju7yNQirFx/08cFLJF2NndKD8EoAbyR9PmQyjCfQDnDRaVmZ3ks
sUJaG89Q3W5gQ7KfUipzpsnkrx7oWODqyaeIhU72TdM5MDbAeqlGTSxtQdloyaoihT27im+AsMDQ
6dn0/WfKsAnuyYclLY7lkP6c4vF7iTsKTs2mZhC3WiiPjorbQw+XZsexaQSTU8xhZhnmtjbK6TLm
WnDLNtIDJxcZJecgXDoHsSJO8OI23MMPnlfzhXLLLaftt5qsi1E5hCJcjAOGODseCxhmrV2r9edo
0UIVzFLSXMRx8NyxnbvgxvkcpUXvcW28ydR3riWOpi/DoVyHf7+pcsYWuCrtUbbcxhhRjOfZl/e1
bImZzGbg1o26ay3akDPH+uAFDmzCbJ03KUsRGolaKOoSb6Wr/BBuSkdSOtkxQwddkwdLPXyPJm4n
zdG88V3W3Pno0flZqj+5awGzTo/gsYNkKl9alTJeOlOQtiBhWg7wXRk1hFrlvqiWD4JDNt8eiCXp
dDMUFHYxPHPJ7neFnd5nMIf3vhgebiu0rZRp8pD08jWrfUBzLH8JhZjMiwLFCCD0iD8g3ZEZSgM7
tQqkPGFf5ln1NIxid8w7sCVOpbZWb24VgZ0uoCT4ZOeE7MxzM6UpX8fqecxKeC3VKfJ7/5D2I23G
/tyF/Tj64VgLsOAtTdN+NZyyFeRQwYWDsvqZwo9i3g/gFSvcg0t9BC4z7oxciaMhEuuQ99Q4t6uO
f8SsFAK+oV9c+V8kic/pwWo2o2h/u+hcL7Cb66Ng9D0mKEPkhDXUpYILNR3lJMJd72Cz1+duMl7j
ErllxEL7JkW2HnJ4aVCJDA+zRdNkG6KKXdg2LC8t90YGQQjbaXdVzzTsQt02V5Jt6w0fm1mqPeLY
wxtuzGlY+fOdgXkCl08280GZ8b4h87V1LXeBz9ZI9uHObF94zrbWCJlFRf1dFtkrGXUT1eu4Zpa3
5ediOcPGeKRWkcZhaS4hv6f7q1mj/qD96dmPMoK/dbLHG9XsO7/J3wy24mHrdA9At/nvotRlm7cq
ujWHEUXmnGdOBnpJqMpmCm+elIkjYGVOAKqHH5SOzuoIIwkW+zR9OjXJqoW3+BHStX1Pa9Gt0yEx
kIgJEsJki/nMDtMsvTs3buDMoAtRG481Nw8JxmEcrhIUqvZWphIj5uT0e9OrOj9mfdzSsXvTw1kx
TSipwA4tK37PVye/6+ksOlVSzc22T7OIRHTU43OJFvq48WHk8MWmAeMJkOmaSZOBKh/D0uZETlez
Y9XqNviFumEpxL3vuCSuAU+eKycz3qh0XDdZw9VjS3WDeMH0Dx/e8nLo1AV7/7u5ZyRzo0Yc9CTM
M8ViFU9nVRJOnhflXlyp0nNEBPHAT8FkYKXDHXd56y31C4dsl2r/9EnD6BjZEL87LkyY3chCVk58
NVQt923SUdrWVwxAQrWC6OXIyaub0rkz9RDeyicl3nGQbKgUd37nWM8EPuIT9i/rhRd/dR2VTPYa
pgzkvQ4HjpWVhIJmkzb1DVm9meh723D0gYda8KYgs7VY84J6sZIvT/G+2KTOlL/CSbkffToD3WWq
MKDVKhCz/Q24WP40gacnIV6T6Dc1geULY8gnafKcBE/3aI39CzXyN1YegheWmMOwLs0uZ3Y+z7PJ
4+ogfOHB1VAr1opO4tQ9eI2dBU0cmVtdU50TIw+GWIPWB3PU8KLNAiQW7cDIZjnYxci0EegUFpKy
dul3z5qLl8sxaNoZQFwyvOolwXFgde+paNugY5m+p25SXSALpU+L0bc/bCirycaM3GkPlAJyDMaF
BPc0uf44eiE76R9JDzHujPVGeeN5TjMIA2rOTovl/kkZ/zcyK4cwR4LiTUCAONB0AL6QouMw6VfI
cOMgqju1Rg+UaD+omF74BC9zQG96s6sH61eVeDyMDuFbvKsRroBVnnsq2r80LpttVPs//EF4B9Vg
GWBKsoNFA/Ou8P4BDKflD0OKJQ6culyNrVPK1PQK/s+5WILHr3KN+DTOnnHgYjdtGd4fh1SB02cx
tXPb4U4wqPfeoPdyRZXcamvtj3lfGRe9zD4ihv2SNIrfLi9Zr3TANOEL6nC0MiT8jj88rt1ByCtm
vlsDHa0DN1/RScDs3YCd9FGG8FgM1fwkbpzVqKPq0p1omSBO+7zMg30mv/Zs8iXamM606zSdf/NQ
vGABuizDagaJamzMFGT7qXUXrhs4WIcwjnXDzmLC4V2INEpVDwYaEGHkgs9+LQdc+GZn8zBPMXq1
4oUMgL15hUKqftcg3EO87X7AYEGW13f6Y81jGC5eA7yASoFm1/BavB8wxj9g11xPy6A8KpaGIsib
7NWJIW32mb8bbf9LZeJczPGdh9q9tx16zbtFPvrMRQCVx6Bryb6WmPvH7MPRNUJr3yQBW/CNkT9G
vU7ClQXLc+dIDMsYn56kWXfnFtttCAE3eXOsTB2w2zPSzH1NVMoL4xU3aZs09tb1GmNfDj5Al8eZ
XROFBEl2utnPvso5SqOgcBvGbvJVYjM6fAPiyrkTGIrJ2NmlufWa4RRrm5i+6I5C8T7d2Jh5997C
SnCE4JxvMhd4bVQSmghMxzaRHFW1Jxfu8zF6pfVmtgnYCneEE+nNRfVToDXw/Rmt+o5fNDtV3vI6
eEhUhWHtat5v98RIMjcw4Iv9WnMGM87DCe7sqo9xU936KciBfThpZ7xw75d3eGSdt7mCcDWjsSdh
Pib9lfcCzXTxaBc/1OzrXzh9udchGviapVCeO+sZHhXtQZhcxzdn6NOrNma+xkvOh8COaUou0Tpl
4OaHlDGz+LtbQaj+mMz1yuuqM/XnhKvhdUxEUu0LF52qih3SJ8Vs21iLaqu4xg5F14EsZrL/mBSn
lb+SmxfbxrD1St90d2QdxRhXjVa640ZtH1yg1etG1Y3Fj8VCCop10h+ZW/1KoFkGwzL84loOBLZN
6yw0W+sXWDzuRWpFsNoYGZJIP5reWWOH4k1R879wbKr+flF1wkhpOh8VUC64m7wG+ntDqv6nxLME
VMCK6l0zaud3xkC+W7WtSLHH6p4t63zBoAZ9Q7MT7tQ07Jq0cB5HZfNGS9yYB6UlzLLDyiGpj486
9k/JjZXN2gelC45FL/U3fzvjrhpmC6pJlh5gnTyp2WYNWUSQ+jIbwkUWZcU9luz5GWUt2WGgC9YV
k2kAZqIcIHgryDbLmhEJdNWchC6Fsj/rGira1i7M9tQbRfkKY0GEFqrswZ0LeS0mGhoDN/ImVtFk
o2QLIlVTUUK5iMvBN1OikBn7duIBjlfvi57FeOe1UfbAg99uV8Mfj6SKrKupky+/R9HbULpJedyk
P+1mwL5sx+02t1c68zS2uKb06fBYaWHHLhqooVzDdqHLN8x7k9yMVV/YCOKCHFvxGjdtqJe82/up
t75VVAWHc4yZhUoG2ldngX2z6E6yuvku3bUjVGEmOxL10dPYmLzrR/VjjoZk2WaV1xL+19195iF+
zUhgT3YeAdXJKsd+YdkEHwMYxuNUTelumI35MxrEd7EiOuSEkQD6d+VblXJ2QECD/ur76eMIYmGv
HUWGi24auJ9sUXC/Z2vkn1NkSW4deZa9JKM5PLkWC58tztJYByXoF0i5CyMBSHciTpIz2cndgJLg
+ZmCX4oOnVHv7dnnglbftmrpcbEpnedhcbe3k5qOZwVbB9twgyEACntrvsGIBWqH9wc1RZMlWQ1B
Q8+kt7XTvHAzY0oZ7G7v1Q1U5SnTu3Ip0nDJrR/s36Izg0h2VzBNBmXLhYbIhjo7Da9anWXFdmH3
dw/D2Xl3jXVbxua0yyg7wt83uIe8abpzs4p0l4+9+ZRMVBazZEDmHJoJoy9TC/7laoqeEz3Dx+Jr
ya/KUtBtKxu6hS8e+Fu1mQ9wA9+LaHQCtmuwRuuVBGiQNN56V62z+2dZSMzs2b5wB2TrBqG086nP
ILkS5mip9CDZ41ViD6fgIqxQ8+7beVBHu3DBNZvKqc9xFSPGtaaz8gM6Pe4yTPiBv9Z/gPKIajMp
VipuLcffBdaB3WAU0UHGBb9f3TfWXjAonG1zPhTlMnzl0CrE1tfG5G5iPI5vfL4/FqvN9riALY4u
9uqbuBRc2+YoVFn/YdpZsk/sFGLIJBKn29jIdIg77O/oeLTxZW9WOartlFO4tMGudV5WDJFeW42f
oJaXh2zhfGxasH9DwsWgk/XZrZyeuJpyOGzYmTP/t0uSQhn0WuTirJdXGfOGHmrzgV3DLr3hbgmB
vYrCyX+vRpm+gF5xf7OB8++cUZzSMZPwL7oIXLVHCrDiXSjot5qN+sNgIXutBZ3ITlUJngoaj80c
IvPkA03azJHOrc2cKqRgZoZfaKDcPKxWXmN606kinmm48KryyuKf2vak8qFqz7Z5jsuUr3Y2sGAy
nHYL/fgz6mb4vgnzRqBqbWLfpVuFe7yT/YoQK7km2JOimltkBzw7Ph/Q2L4jDH2myfpzmv2CY1x1
r9JKimNKziHfcJymH4L75/uwmKx1RtMkgAZgYsNdo+c2BVIDvKFDA7mf6m2ez9WjR1d5AKRWXWFO
uyTvKIJfKyymAUofduM+ru1dBbdjjadNFsEdxe8eLIUM/r7g5MgSu9XtHtl4UQJMFxEqRtzPB8+A
KbEmhkcGY7Yea9vUd9iI5WngffSEycMIVpT+kKF9fiic2Ma/O8QfyVDJV+IJOV4HXCtse0zMHIat
9/1408eNvBOXzJrQnUwKm1h4AW6dujysU+dGuYo5CdJqQWjXaV5uxER2HB/ynTkWVTAAy8eKsSqL
tggPWBvxvWoLvORPJtIhHOoIHkyfYWfo8mLdWlK8uGj7AbExf694m27Z75Z3lFQ9OLpad72qHTy7
q3tZurbmvj/PP4kLQZntvcmjlzaaOq5Iq38xU1E+saT1ny3Dnh9YYKuf2NWrs7HAUbcrU5+yzsXp
HcfFGMg68Z7thS3jIocPsif0uFBLsd6TDc13OGm6PUcpfhdo/dfRKp8IKOd3MzMXzazwiO3Je2vL
Lgl7gNeMkt6cvbb4dR4mPZM/Mkc7e5vblR2B4a2Ym4DKBo1cKc+eK8jrkSYWurjHPsn3CcUCJ6dM
kSMjzzuRfrw0EVkoHNweNRFLdUTL0PRtNSXfiHk6iQbjDO1t6Jud6xL+9YggwtvB9SGlfDeUfPK6
iLqFZnpIOmg9bsQtLu9ouy4nJwnLOXtM2BOmuKEOtgdhovdxUC9Zg/JazNUlr3UXUD9zlIyz/0Le
mSxXjmxX9l80FtIABxyNWakGt2/ZXPacwMggiR5wwNF/fa2bCunlU1NVGmhQVpO0ly8zIpi3gR8/
e++17yEWsjfgEnUKpmLKSB249ll5QbVj7/fL1+rRMadjFCEY+YY8QBNGtDH9iA7bcDRf46YGT5gX
wZbYR/FkdR4PrhZNel+m5cGq3I7EKgyU2KHsPLFE/ZxnvFA+/aILrsm1v2gQqk3EB319pMPUrUl4
bqI6oqTOSLB1kHJaFmatyH20LADGbhK00UfosjFYmHse0z1gQScb15wckL4t2zx2ov9WjcWuR0dy
R7c4q70cKfKG55YE7mNPB/wEDup0ND5ek7s3BKqGHcWd8wWLZb6ek5CVVGCVl5rh4jK0k1hH0LHf
aJRIrw7/sT+OhQncNbD8H3e0w2f6wahqBv9esJEO64xvPsAn5KXgpUzyaaWSiq1BXBmrrBTZWl6b
GNIBUlwRe+LeStzkxi41i/I5pnEnGOz2jt1A/CunhRfmjIIYa7OIxO4ACmJytfMK0WjkeTZrtoaj
PHbzFDRLoMY5vq0EPQGqyq86DJwDg0r0iyUhM0R6XUXZdXqfcAkvuAh0kpLi1+sq6MUMcWXRJW62
b3Poime2G8kb/rT5lt2GvY6C0FjPFHB9x4ZjXabRRTkIq/wRhHK8Rhbgel/SVmIHynuQpmVu464m
j+y78aUHMwbq2OnyQ0vq7aey7P6h5HhFmJnC2zqopcQ7AQmpaFNnbaRheOgK297UmrOGy3Np0gIw
DbBDaveMZJWv/crvQHUPjr5FMXAeCL8bO6OasoesMj5T3fgbt+H87PLwAL9cI+fI5jaqR+tDlj1r
xYzvDHHz1uRMpN0pVjDZ2noWe51R1cp6pr/MUPfZzw9ds8pLD9huwyJDUd68BJdp/YjUD484dIj9
K6ODDTeFXXznMhxsEOPCQ1HxPcSSXfCx5arP1ZltAWqUuAwVjdhpEFTrCCPAYxkmD5yuzDySuzTH
r00ElOJDOcTZUWf5+OQO8bybrphPwnAtmjVj7YoZOXsJaCphGW2E8WtP/UG6CPJ0YO3AfhswCLoQ
Ochs48FxJf1wxdGoxN36MeodhSv2EgQDOl5KhBV1Z3pgG9buJPFk3H3X3bsyO/2DuWYCmBrJh7m2
5n1PlcWS900vuHQFB5UBK+yR6Jd8VcGyOQV8/l577BUml5gvtryEjyUKdjHe9El7X8xWizMOZlcX
hP4GNxkzZ5QQvUK6edA9gJyo13Jnko3gVuVbNChMaO8/s+FKTgp4clnMa0BizgYoT6yCQqnwpkk7
ohihJj9l8fNHM0bBReY5Pi+59c0Dxzj34aTbNTQ7H5BmTi/E4h/xiqUp6bIJ+t0grWXuV9+yrsL1
KMP8LW8nePAJluEnmi7DncR9ddeXYfpORKS/kTaiC3tazLA0NuU8kdLy/r/FLr/9rq5sDv0/roST
XxU1lDg+2v/5938LQvc3AOWK9Pi7v2FgStrpvvtupsu3Bm36L/Td67/5f/sPf0NC/g+pDA8erylc
MxCEhkwhoCz9xeD972Ajp4+vjyz+K2bkP/wNftvjzT9sHiiY4DEk2wQyyFz8tseLP6R9bWqlEpb/
If6S0/AohPXgYNgORbF42P/mj7fFH/x03LBMAhwk7QAm/8vr8tuI/r+jEvt/Qpb+5ksHRuF4DhCm
K3f5r8QgdKCKZHwb7/LBKzYdP7zL6nuIrsu/gmnHhjZyxCnvbzu70SS1pXeoGG/Iy9EGczOoGSsj
ax4KybiRN8/SCLsbvjfTM9nawCEORaHspskKnlbJUAeXQqX63ssQ+JdeWnC+2t5MII9zMzKapeqt
EM3bDCuGtVpEnz2eMEWAtnLOWkg+zaM1fPBlKT9VnEm9bhxEjaq4LiNnSd0FbiZNvzZ2K/e9mbKo
wsYQjLBzzZaGLAqV+noPrDY0QIPxnWB/YqX1IfXd5B6mHo066UwroWRV89D5fFfdrOtDQnqN+yaw
oN1xcZ/wW/QQCZfsavN8IyhTc4GaxeZbjU/FXgQ2KTR2O613GcuEhZNM7f5XKo3xEGCCPFhdFF2k
gae+9hPxIHDnccA18q4w4uJC/5ALRMIJdk6u5m1vjuU6NFwvPHFbh1gKgXVtR+64Eu5g+Ju+a2g9
jEQX/wqGkffRyHUcrOlo6elTyIb5qJjLfqgVHR9MApnfyUCjII1Qqn6bRebcBh0XoXWs0xAPhpNG
Tx5dU+QZu6K9i1Vg3kxpeq0kwD4sF1009dssTyI4JlE/PJF2MKhqSGIyoQMhNL+z8JEHLqMJJZu5
eccJKz7x6NUkav16aYk2iwgARPA4ShfGKFwabiaFYuuAJ609pSVj26K2m3LnMeDqvVPU7NfA3LTv
AHqhmUo84d9REY6P7PKGYaFxcgMAxSnNHqijJkg1eOwiAJT5qg0csc3qVAe3pDjzek02GbIKbnOE
6MnIq+Q8zN6IgDABkl2nPTLMpnBm77tMCTeuqCaSIeUfpZrXNIXlFmPZtfewlWBHZiePX01B2pVw
+ggPQY6SjgNVcPowKFJQJjGStey9GqzTCX5iXr8eLX5p8wcxcpLmvEgrrhtefTeCOWmHP4gY3nRo
chF+4xNtd35ad9Yv2mrNYkExiMWivghnPlIjYJGN1xCUvOtzYZ26gJopNkq0VcEe0b86Nx6xnqmu
XJmAVX9BzdDGyQKFSb0VIuu7Qz1xekcV7PWSMoaSiW8qnuo2cr4mtsBvhAzBqzZkutUKj/C1PreS
m9Q0Mgc6CH4okLdxBUna9cj+G7jRV6Ksc3ptK7LPyz6Ius0UkOlk8pywyvaNK1iTBRAw8IulBE1b
797sQr3v3Z72t7zoxgcjD/QncpZ+SVNwp844zxvZcaNcFfHo+hgMgv6eK6N+GZrrWCaH6khhQL3p
cxBv69FPFeW+rK/WhQhaNMEqBkSiypzXoqigULBeVC8TtvljaWUyXrupq23uvk61J3YLfgQO+7yQ
fCqBMZgDgkAsqdroU89du7rqf9EsC9/FSjtiwy2LcmCp+XSBjBD7myqsVLjO5TRu68iQW0vl5t5j
CAGDztv41gTZ/NWCO0ccb83pTDmOce68ODoHWrL7FpXjXYZCJQ+or4Q5c9z5exNM9s7RYXNJ/KG/
xcIKS0UMpbFC/yhfqyrGGcdAQYdDGD62HY8cpvFo3qTZAOqUMqBkTdgeiMLs+Ol7mQzVbZojVEMr
C0jgjeO+C5v5i/pPKNJTTKRim2UV6XKXxjsFTULFdBwMkXpTlcreSO+J4RDYGCyXcqTUimd4+8S7
M9JkSSkMIy+2yj5v6+lgYKzUiwESAskeP60oejCgPZnaHhSf1bT6zEmNPbYOHBX2Wl0giPrU6Tu4
WfUKaXpAB68bLgeic1q5cdyZdizK1sACtF6DVCGUqZ51aqXZRfiAR3hLbB46EfPZyjYIbBzjdDKH
Vc/LP6+9pKWh2FVTP+5EPtjOvoHSCh6EPsFzxMWKxRZ1NBn5HBHccH3MgQxH8Q92OjomtJk8RqJh
OxHkNscNtcP+NmWXDMojqrw11jOl0Fi8ZMelv4sQmerx4OCvgcw8hfmBpTIbVvjmhV7mFT3fjNW9
Xln4vle9H453g6rteWUgvGz7AseuRVUHLrAud2C7WnIE8mmnJ7uxDO4uFcVKJrCcLcEXPMTztZJG
V2rRaOozuFKrdYdLXy7M2jGxMbpF+unVWQn/wj4O+LG7RUoYi80TP+G9qjz9Yuf+cGCjYtpLCgck
Vp3M7Gm3GUw4dq1XHfjayOoFTxLFnU6rd57rb1sgykDDLQZSHwZU67IcSLM6cBYsyPJDzI4r4uvS
1MyqOsToxGOHSiNARtvGutj+eC+sKlj4JsFnYlslBzUkjhxc4jGaCcBN7CaWDsmhSxnSmOZw+Gxt
lqgHOKAfXkNiY4Zbs5sH2KwCT/+TPUp752fYfBdxnrM69OlAqJMg7AmU98FdZ1n2JmOlNS5nFLSD
FbaoUFPS7cLAmlniJxDKaAVMx9Nso5BiozRXQR9m51zyIF+nQwmZxWKVT4unb7H0bF0LrnPcG9YW
4ZYyozmpsyvMsrqI1MkPIx+1k++36XEOEufYkT6suTV3+jXgc7bSsvR/uRNJCIzuTk3wJPcvZWF6
u7Rt8fw5KgTfMhriK+ADswq1Vd7XKV102MoTZ11k7NdM2aonqtaT7dDx9tN/ArsrRl9DFclYZSfY
bCnFTb2bEojSLzZi0lw34GUopmsVse9AsrKrQaAIrX+NkaXu3NblRt+kdBAOWRrdaKm9tV15NDdi
ddbX/hwyM7MU3nsx2ymFDt31MugkrITlUETfYVzHt0Vo2CcoTGyLcsjY3QKGuMUBCvXtrXdonPf6
2n8wHLu/LrbD6A1zToy2l/Tju0HQ7B1iN9vOtE3HZwW2Z3vtvL6FTGIfgnHIfvh5mzsPz/xnMHck
BWc1acazpKGPr2/89jGYhoLwnyYDsQJD5IuFK6fpnruVTyOFHJ5nwqPcScviIxAuo4aCmR0tWh0O
aFK4X2Fx13a05a0aThbZNZ4OSdjcJ41NNwDuLjTxluKZgKc3yvVakdVPDl5qdNW2a5sm3CsUzWjl
B0DzNrkVWzdaKedFeANGLTxSVN4kfYGfeWx8qEWUuvrHBPo0TH1n1OjAQ9BgoCeWYy87UcM5p9Gq
eRta2L+rJolhxCVzHp4T4rQVJkc33vMJCWg9wHXyEcUeh9ogfeuS9XRJsb3snIG9ftrtBKCvZ4dA
4EXVOR6rhvvQJSUtueqtHs6III6QaOnfWmNnfuOh8KE2S12KNecu+y5UAgxTGZG0B4ALCWSgiZFg
MTQ6LnGsEMHDe8sV5s6XGN03Q086wMtFVa0ySsx8jjeqwFYVR0V/FolWIRi7IoqWtLV6W/zV/iXP
BSLaTM09Qn+QOz8pKTmJ+cGwngJpUDPsG+aX7+cdtu5h5iTPmqalvHIk+LOou3pUYPRSQHMaT0Ds
5NEPrgHkhZn98xRg5dwwY86Aev1kPRNBu+/8UoPuJARgldp3NxNTW7pyRkusg9inhcDsqNV0XR1+
BNDUL2bJiLFm6g2MZVMEMkeec0ecDlFu/ORdMTOjUSsXzPyHky+tK2Dg5bhuPJuvicO5DGFn7Kw1
DffVh01Xr7hDAM3XYe+OeMDEeFeZOSpUqaqB9i7VkIvgUyWWsBzjOzIZzt7OfPz/ZlHgDHQ1Tv28
FzX6iz349ELxWwLXppOPRu/GVs9q8Ig610GY/1TUMV5gI7Jaxd/nrnJW5OC9jXkF74E3GdEEyEvD
ViK0YckT3IB4hUeTbuKybdfdjMs/VEkmF9KM1EecG80xG2cWdaM1zzujBVA0OV44bSk49sYzwrDx
2BNEQEaJtdxHOHmu3nKiqdsWNv6h4jP9a6LxihSaY0UXTm68tWQxg6MfVuVetSbhonHEIGUaulv2
SEkbSILjOmpEvaaujT1nmXrzHqUqXRim160D4iqEIXR35od2DrAGzVfmAEpWsgASnUVY+eoMxpU2
hCCOg77OQThGEHjSrLtUTnd169p5RZSOtjJcwmZyj88lx/sXsMSR+EeOV1PVmgkuXAs3/GRODbYm
38k13hS9dgL6aUVTtJ+TyQKXnZcVYmoS2XukK+8eOwfaPreDlH2ykW/RtIrlBFTvkRjoHbwX6w0Y
ZXyPJYLvpRg94ouuHA/03Q07R+XR0XVVxuvuYsWnxQP+tJdQnJ6Z+Lqb2eMZlZB1ZkIv7E1smtBR
iBhegUf0nf0KKM35lDxidgljKeXpY6rPQ4lOkfc2l+Omx5/IshtfegQNfo9xnyHaJBpJwQATLyOc
e+ei9D84c2XvPVdTr6jBUA0QZaCopG7/WBtUREK5FzhWI99fe2MfP/LVC99iVwAWhaaveDxGNPPp
roeql5dmcQMoMD5gv3XveiAlzaL2/QkylWtmZ2nY3S7GPHyTiHn0F2GZprdNXhPIlsS3ViTXySkW
0aRBEqftA8CgqyGj6+8CI6KgUYcWWcUm+K4BIm7YGocFyZAJr7gxONaLaCumeitL9xjL07NnmpCl
zJ5dRtHyvCKTSllbRzv0Pi+7eNWVRbENfZxgWWCMe6GISYe5Mx6NnP/YzOM3WYQGNeu84hVN1bnd
vTQcdeQEhzrfmCa0vcRs84dQ5P5jG3cooVOnBKpoPLgbCozVMrYFJtIKLyKFsAMKM8CC8tEiW7Fx
nT69qxzxQ9GgzalcZ1rTu2G0p8mhgu56fFLRmvklbXXO8OxyKPNeznXlbzpMdl+ZM07Lf+RynhNv
s/OdjQ990ebNSFuem157Eyibv505UrpVHqToCv+/LxHtQEAM/s9pGosk/mj+ujT851/we0vo/2Gb
rPNMfPp/UjT+dUvo2yz8+L9dznFpS2S/f4VoCO8PyWEM3wLPp8uU8rc1oXD+4FfwxLGvDxcP5st/
aU3o/lt8hTDhJZNtcdg4wnSR/Jf+dV1Y96D6iLrbWxVazmMaOfMKmlB5GPF1rvCpd9u+Lt5iqh9x
7fk+0MaiOAlHdmzf+YuzLUkdn+PKyV7SOE6Ias/u2QpKL9yPcxuTSRANu8WkcV3gdAPCN08j9xRm
RDgWGcDZfRZMLoWd/fwSENz/mSuvfYlnHLgLnu3tLfWr4x0iILc0TT+pU1fZhjiAOIxNLy6dHuqj
o8vqMFka/RF/+T7imgvVUxhXBRMw1FG1Oj1SvMjXCc9M+Uh112zuAZ4bR9CJqCDSYYGDNZGSslgW
4RMtH/W2YKN3dAPqeutE4YlJDT8D1kmp+3MIK/IplNOAZ9CO+L3timgAYUfOFhpKGOyvmHDi1kV1
aPQYbYCEZDezSBuHybVLThB0PAfXWcBZVHk0NuDFau4NVWUB3tpkuudeQYlu4ZVnKmnpSjHxyWUA
l2WBVkht2Q/GPOMSAuGgmygJhw9l0X6KmRPPAym5qb6JxyvZozb9Qm1Cz8G4EMUkxvQ8TXsXLRAH
G7kAzj9EVFJtNm4yrzrZknM8tSwcKwUdx5sCr8pOdBKv52j/xO01Nu/GeKqBJDjNjp5qRtAqMDso
B63Juxtz588Ws4/3RKO+4RQqvfXUmmrDJINWV5neprft5mtq84R7gA67bUdo7JfKrOHNanv3gJcg
OspYV/ek3cTTQFrrnMkslYg80M02knZIYz0SNuARzYITv1jqygMy/bTD/RYgIZZqDSAFP7KsnOJA
bZ13csp0OMi2pUpNKu9op8awtlxS09hk80cu1u2DYzrxsKsEbvxkNoiB+kKagqAH1ieTMPStImEN
jS/z27NsfPska1IbpmWICQQBEbhOzwKs9MBL6jcunjbLCJA/o25gkA368RTCqinMOXwPmjI7sHlz
3jzUd/bxE/RX0QhepspiVdHxQi2kV5L4Vz0dX0uGV8pnsyBFFeQopszGCgfMer6e7b0mCI0Y6mrB
yN43F6Mi8+BP6docEqYhVb8rkvtwaSpK2dueDa/TjNjEqoPJybLxupCLxuTctjCtR3hAmyLA9Rk2
zksYJ+uiE3pTVV4DxsaLT47pD/iR6l/Eyuubwm0e6kb9BCwDlqGdra/THiXSIARmZ7gt4Gx4UjlL
i8mByc/F1g3W7DaE4klRjYclZzMIkYElJjjJ2DRCIq00qFBz8sBXkrc6gIlcDqbN0s0pYLYGc1uc
8M25a76G/RNYs/JswNNcNGywtrnTdt1964KEWERUy/qL2TRiLkjG6L93JKw4ttktYz+ljfYXXl3T
XPE0IVVcmXMbHMDVxvHW7nhxcGfnxkgf48APyS+67jrYVJCJtYfOIM/bco8bfC/7SuyyQ2pJjc0V
k8PHoh23ViGdrdk7Jm1+tbW3Goz5/UAAuojYHC+iOQyfPF7aZdf2PrdoSf8RYbZmRVgPrxO8cpxH
acvOla6gM+4b88FPm/ndt6ibpjet6Y+FEAQcvTC7C4Ufbsy0Sn4UeaAWM7LE9Dizk9wMqPRrhuIB
/DF460Vp992bwoC5qzO44VASs2Q3hUm96WiHJiCsPXFuXBMFJAuSHbFL8Nmiofq7mYjFhEO0KVTV
rnOn7B9MYICvRt5lB6+gmWUlUlzTuqMThtdf36Wp2VEijxb/GeH5RbgPdnMkj+jh04nZP39tRKRx
fEAVB1j50KmeAt3Szy5TUsPfoNz9VhhZsfVBdd/V5Ukl7Z76pgkoEngk4dn9E42a/UZD3YAFT0fy
Hru3cWPq0lRHm0/T7aCa/ETwJe2XWRdYB2fI38IgaN88I8ue66SrzrzM2X2Rzc57S84pI5Fncs+s
yRLdRjFBnbifIFKLaNYkEIEtDGTUl9yjBfHRuZxXQ9glXAu6Yz7NDmTfHi4yEPtjY/Q+rFcahh7m
IWNZMBfzQzi3MNyZZrMXVgj2elJjewsX1D54ecHmDUS+Wmo3Tb/qLCZV23e8SYUhk4fcYQPfXf9s
L0nsu7ZMxCZiebcTlmIFNMRA2cKIRx9G7mlpl0yzC2w+V4wqZomThzvsGt7Jt6Q3t5gk6w1F5NyI
52y4xCysWZIYEYR038+4307RNnRitUzCMH8xym6G6+4LVmjEgdg81eKgHO6XyzK2rX1k2l+E4rOV
aQ3ZJ7XqdbaeSSc9AWuk8d1h9ChXQd14p1H56Vn4egJMzbOV0OiHrcmFEpanMNhpolsbzwwBjTlk
eVIMQfY+8DxNl1ls2sZ6isrqHp3davdDncyPgNwFHr+q6A6mblzgLVn/NKbWV9MBI9iCbjTwmWEs
9gIdfaPeRJvSxbe2mARuyEk7BKKcIRgR6m3xjK1reMS+MHyEXLp46Ap0ggWXWgoUvVSqJ29K8+/c
pveqA7yPhpFQbVhwpYtTIdxdk2IubCnOQtEPNmME7MeviE/MSvavQRh9XtOpfLX8Y00KF0mDuGJv
RLuyth7Mmfd5SqvhMNXhDemOemGmJIf9bpgxOKlJPGQNX5JdFyTyOJap+9Bj/1pwbwYwXAYt/K+U
oQNvof5Eqr0hFc8bNYmGKwzaRQ3vSyxqyDmrPLmWHksx3Echn+luMjlaCxAUijPlicrHfGMR6wVC
bjV3ueeMTxmq8BXXLhdZXrq4mnLSCpU0HonWrkeHi1xjCv9+0LK4aUh+AvxM0hdrmsS+R85cN32p
vtg9ZiS5NLskxq0dN9/g1bWL6Ta03Oqr12LcYA4bgJG67vRAbWC947bHYCL0job1+BRXHRSePq7f
g1LPxxHL14+HsXipQnmrRJMcC4PjvqRf9XMqpz+TAXAJEXc1IaCpN5JjXlATxCSZjT9haA6nGSsx
q4HCcG9IvPEgwb71WfSNWA+GZmMdGu12KIbkzp2YoyzgnBuvtcgrpZ46gx3DSJKUVKKGDmWGevwq
3FnfJaq+6Xy7JVGq9GpCo0POpNyAwD1NE5R6cx8cTgydySoNSueW/Q7paMVjHaSzQ1gl25pecpra
+JMqwC9lBbfkTPWmQGMY+AYn3qVSijBorUxrE9fGkWciojH5xvixqHmuLqrpKhuZQ5cyRgQ1ir/b
DhuwX8bFN5FU3tD5fe/Qh3rckt4LeO8r1nEMWVW3JbxiPXNI1dtxwHfuySGqD3NRM/s1fhZ8kYiC
tD9DEn3XTk8gMZfeypm7+Wxq45xZqbwwTE6HNMC/ZpuabF+TBExz14wo9+yE3XJkAVVF87MfwXdH
u0JjsimvfWUDa3VbKveGJ0K7lnVUnNxI9MhSkZ28Eki2T6IwQL8xZ843Teuz7VJm7b3lTNYPVSOa
E99X2TF7tdOmqaf+PjPqZCBnRugH2jcmLOXSuLIOmXBp5SVWSmCmzB9m9lbEwVlRvRFcKU62zggs
kROXN3bFhJJl+BdAQKd0ocSRW92RWZPuUhcazC7w7ARsVN1E8zqawbSTGFfxC8tvGhOVaolemI5x
iDxGDATvfZXR996b+PVXrS7Oonc9dtimYzOA2QQ8UtKHX2xIrM9IIYK7JJDeCK90ezppkSiIVhCr
L6IYZnuIkDJCvPDtgHK6kW7QCgs+zKjBf9RTA5azIU6OluoR8mnZEzi13LIty1ckV3DjGhgLlxOq
9pan1geuqRYgYFdBmHDibY7+zfq93dILfydq+VOzSt6FZWXsxzSEpIPx1VTxlWp0Axk+wEWiilUO
He7BHBr47Xibt6HMAdGboX1lom+N6xUDu+mOF2JeDtWmrJgN+UkghpQ/JmnVVRIZO+GOwBAzBm6u
yNkiAZq4Cqr4JWgGsr9xxGqFaI+VR08GYwfb9p68WdrecjsvIZz4Z1voekURyM5OCJpyGfmkt/GU
sf4tE+kv0W44G8zova0EdTFczaRuxKrtPCSooZ5gxMft3svobCgGmMPUQM7onQW9LRjXlhkGw1XS
g6Nyr7LLkDebIhcrMx8/0EXIPce7FtVmRVfx7YxV9W6wqbJwY3M+891ztmDAA8y/gUXyfmpobsXD
dEhLHV1CRSWiE+Iejeq+WyOjdnjpk6u9TgEhnFHtGEoNjBujJaGxhBT/LP2cEg7cDFcpysvb5uQS
UUvAsvD6+g3Aqmw0YMzZTr9zDGo4Okt0rxojREoDU86FJW2JuI4Q8qnIEX1/n5tpgZweqeA5d4rx
g5hDeNTuPMhdQ00DA418jQYF3as1ZADmbeaCA5zCSi6uikYkONued2o0EWizgHqTUucPCCfqWmPh
uDREZ7k+0LvUMoP6uuGRh5LvOO0D2ip/17I7azN55AFDsWai/N2Y1x9oEPYC2y6VxWNK/YUO4DeY
/beYulgwnZr+TdTZ/o47Vgm72lT52+TTJYCFEI2zasL+nW9WsqRiE4tSUcTbAsbzdpw4qiUQrb2I
g4iEuhh3rc+WgMW2FazRcNTRinjm8xQyh+cIrPtblQfJllaMrlwXnvaefAYXB3NxkY/wnaAO/Lfs
1c743ZGFf9q/t+P9aSX7m1fv/yELn2VLn83Yf75+230000dJgd/3n77C/dc//cPvX/PPGziPZRp1
hPjupOW4zp9s5N8+PecPkK0uG1n+iMByrp2BvzG2UJN9Vm+Y467NX86frGXNej/+p39gOefa9IUF
lmD7dv0n/wWfnvQA8/4dP9ay6AOzCKTbXJzByP6bBVxmUaKQZYQS097wbz1y8ZAe5rLYwG9LgTG2
3ZuEPbYvgRnQj1SHDM0E8YDC1f2OFViwTxEkHwKqEq6EmTR4rpg9XjGUeDfzbDpPiQyRAEi87Cca
cT6rxLAJCEbjvuSvO7eQuGd9OpKnZW21ztdV8EFVrLv2Bn6ZeHS8lG8KakNJ4ElxNfTd/FHk1sCK
36Q0iPH/Ttd2xhh57caK3YLgJwgkV4XpM23m+tDQTfDMGZGe6WndJCyDYI8EPQi3mq9Wn/hUaKGb
ufhmCJ75AjsVV4oq90MKLyTaPDT7iByeXW4TDS8H6Stf2XWXrVGKigfaRbxFT1znprP8YIXNd+XH
Ui2mxDVPzPfqbEPxQLQ3nY1k2XPjiN7Z0GWSPfSt2Z6rliMbO1AJbcrRdLJqCzxf3V/ykud/3waY
tnNs8Vknb8KuyW/ceuy39dgFb1bj2NShlT3nusBKLursNsdLspPXyaFt1ESjQDt/BAWAfyZiAuL0
Yq5ETIS+RUFco0ez33BM8RRm6ofmT4UY2hIyxh+SDW8IFdFz20fD6xSH+jEIu/DbmrGzoW9CbwD7
axG6m0wCqnuc+4XeANo335AtaZhAgUpYYWGHe0+negBZRe/EXen34Snxi/EYUAK+bhQpGWa32U9W
VRcEq6nJJ2fJZwRbm0Fcv1pQQgcWre+KH2saSTj0FqEIs4LO0uiqPNmFY7CJkfUDumO+curCXOqE
dByS7f0c0xZFUtc+Z6TWoBmV7cuYutFa+0H34vVp8szIG610bVxoW1PHtB/EDzANuSjwRmBK7GqS
+mk0YSsR6Vcc++84xsOzamaCamB+jiK35aobIC0s2rRCUKGPm/PS85Q8932XXuLKt0BE6OlAjMa7
LRTWJSN7GsEvoW17UX/qoSd/NLrD9S6cYYepADrUpK5tc/laRGO4qygER7icbff+2ppyO7TDtMGR
Oh5oMJdvsd24SENzbyBFyuQ5Unm2L7NheC8C1/y4ejUXMTesVaV9/zjYtV4lwbDKXHmfjFZ9sfux
WOJn7D/IS9TPcsQF1FSd/aZ6Fe3nrrevjQ2hZ6H9wRVwCja3K/5VdRNpib8XDk90xDlItsdr1K0c
Ey4hvlIvISxu0giFiTmgJie+NAuVbdIwhyNqTilrCNIVwKCsaJnxdLhFqeDgG+OKn9csrqQaYaEx
FYl34D49rbhtVefQa1kCt6m4Tcgxn1WJ3A2doTno3mtwbnJTTpauUu45i/F9rMOcSwScQ+vbdycI
ONRGnQW2eUw50LcsoE8ERHsIJjUoKs1ikhTK8JQ0cVlvSbGb+ZJxPvNWwWQFqwLiGchYO5XHGnn9
Ktf18iwwZq6r3DY3XVjzHERDMOVKOaXvL8s0VuvW9vqE7Jvh3+AfuqrpPIrfKGycASuP7sR0LxtC
jtMcUTLX5yz3CMi5Pt9OrHgnUuVglJwY+iQXRtL5Rl9+adY1I9N3JN6dBv/molQ6fhsr/9oCY2fE
Uzy0a/bxuei8t6l06PGJDdt/skyuFFltDa+1SVnYIWEP5P4v9s5kN3Kky9KvkuhFr5oJ0mikkSh0
L3yWu2tWaNoQkkLBeZ759P3RM/KvkDIronPRjUKhgQQSOSjcxcHM7r3nfIcIjnw803rdyrYNwGdj
SaGvEYQ4iFmfWqjHltmEs3aRZV3pc01g5uO8aBPQyMJIey1caoAZNhiSxnbrCH0+PgtXe0I4ilYh
zvERo+uqh+HctoH47zBGF9XSBP5y0SdRGayHoTEZvQsDb1ut9VG1HenFMbERVn4b2h0nKoQblDYc
0OpXnUgdgl9a2w4wGFuiuS0CXTsg40N2nhYNlP82oC0dlXg9dB/SAk76uH0KwaNYyxSgF5V+20tQ
NfUY0JzT0EHqteUhtkiMiO4tWGRq2tjY03WxzwyjoQNeY6v7Vml29oDJvUaEWI/JknkUzRNCSZKb
MFbeA17o+jxx5bdy1KoXVOQ3EkQJYiKsi1QKSW5vWj11963VDs+j0zHdkW1nP8tWrx0wpPF4pts+
zK1QJcymSG+78WJncq6Q0Gr0jmRqkHyGWG3jRi6/QKWCBhW128iFTZHfU+ak0RemGsMBgJ1/r8uQ
yG9kf/WK06re0+Go+ncD7QlyfETeSyKnQdMGvXWuxV0NFFYahM80aWudaVrCe1/xIjwWdIXuYFfE
B+KFBLQQgJwDMVEEP21pJ3dbz/CNLy2lx3mcWmRCx5oehevMzoBVKIi1VAYORGNZywwy3yyPRFpe
73OiCR/oXKfyLMTWWiw9hb1viU0hAVyFuPMYZ9w4zUzwJGt6zRe00LR8LbUOpCqAvOkC3C1vDMLt
5CFCbXBgDTVedKMZH5jVAX7MJPhzT00Ra29mEmXKH02DPh/aJ5efv647yiECt9weMLalPZUJO5QY
GbORnsOmhxeS4LDMvfenQfuiF25yLc3Bhw6GRnsVNGZ6biYZRHqCK/t3Ft3mEg0wVRstiOa+Q5nW
rKbQzJ+1OC/OMFTR0C3Nwry1QkCKC1ZF7TUr0f9ixtIr6GYuaNil8ByOCgw0kpcwKKZiq3Ud+Y2Y
i1HrRWFeldtIpPpjk1a0HjI9e1eBdNIHAyaXBBzSq5sIELu/UT0Ni6qLAA00RI9duYEBWqjB+QbC
3rf6A5pFcwEMNLjum4BmBZ5UiKI9gissCa/cK6odpBHFfV837AIdUmgpjekmrgKtWMSwUUk6LI15
RFTQIdVUTKtClJqOayMGoTO1Uh27YIJZO3hK+TuUOW4Lv0nQGYhb229WXmA1lzNaksdTiTpcijjw
HkkCgOdGdhb02YSr6mt+cd/Wg33d9KG7SoqQ+x5VWX2FG3E6nwadFVV3ZH3TGoCmescjbQmnhsAh
ZwDG6f0wPQtnCiY8Y7NcSnY4ngxrVDstao2NkRst1N4uDtfRpKOWI1wa4WpURZc21a4BpCAT5LGp
/F4rXTAXUD70C7sauCJuEpdHXR+4QoUswh2aTuclDhPzjVwHvpaPLfweOOBsMghGgBRS+W9UhwA5
kta9h5qVb4Op1Fj8GnERI4I8T0bLG1aalUzbqI+sHTttEVMzGoxw0ogZ1TbHjHD0QA8fBtmY7pIh
SxOtwjCon8lQRFCfZLX5LSnc9B3xirm3PM1/ZQYwjku/ntwjfegLMjj1s3GCLLn4/0Xjqcr7he/L
sFicflY07l9IKP7tv7+kxb/9dnipgzT8oOD4/vPfC0hid7BBSk4EhjwZuv5l9ELCMZsWHaXb/O0U
1fNnAWn9bpiuZTjKVMoV7hzI8r2AxOkllA1oi8xVIn5tafyTClLac9bJ3zi9LJQlP0o3MtH6RsvI
GUI7KxYklx4BgA5OLsAkflHI2M7XM9mYqE4NS+eirWW8ZrcvD+MAJi/3/XKDwNO6IDc3WOkjlMwE
t/EumUnLWuNx2Ck030ApYAGi9FC2LnoPDUWZN+NZyvBtgTNpfABuUG9VwwZWl/qcFlqVl0CJ4ge/
8lgrFaC6FFrpsm+T+OD6ELiyiXm4Sd98TU51tSdUECodcNkXx62YhYeUMysvKoiQqHMO9w5Ezi1+
s3TTgcpCottzpu19M7rNS4JkF8oxnOPU+hxvObg278gQazxBWifuGtScN81YhuOhLLvwMIKSPSLC
1Daek3tbDGNfZTRNYHXtoV1QndAjikXcQ+wFPpsHtvcGl6Jjs5TiUGI1WQFSmJ7YpKM18hZzh1Dc
2scqGIl6oQlxqP2aLqeboF5YU5Bh8jGosJFdy3YRACte5FrvHSw6Sa+SegFZcqGtHJ8ZRtSUzLaJ
UH3Poyx+UNZYPPih2+50WYhHhRJSgWxCmUMHku3+JKosZn1lOystzZPoMjgJMN1Zi9mfZJlwtrQ7
7STWnE7CzalN0HDOas7kJOwMZ42nPas9tZPwU8jOXWopatBQT/SVNyFjRdoOUpGJF8pRjufaLptM
sWYvMVZTAvASdr2+MhHcxci8W3FjC2rFsp9lqWJWqCK0QazqnISrGEUQsabdLGid7JO49SR0lbPm
NbWVeebOOlhLpGJpnMSx+Ukom+PY4KzbBuOV56N5qStKM8kfKa6qWWnbnkS31qy/zUZAiFBEm4E0
cLqf3kmqi6ivOgukNm7SwPC+jcUs6q1PAt/uJPY1TsJfr0cDjOoRNfBJGMxq7SysWS08nYTDgTu6
9sYsQcB5kCpX+qwxzoUglAQCLPLjdlYiC8qKm3BWJ9O+QMCJjWg9ipCTlZUbCJmTk6i56GeBM0Ed
LYCDWffszQroCV//F5OPtVboA81v+kksHQCrgj5E77dfIJDVNd6fWWBdnMTW6Ul4jXYYEbZzEmQP
szbbPcm0xUmyHZzk27KD4rAeo8EOFmXQBsGaasK6ZeAQ9wuzQKpKqTELwiNjFoeLWSfeY6U706Cu
gKFKJx8NAJaY+RzoWXtjRKpPD951USMObwK9w9lo5NabzKZkp8P3uxl8qzgOLdZmbF3yiouC8NJw
iuF+0CL/RZoO0FMbREQxes22EsAqCD9qGHnFrrhNijrld50CWFBp3yHKHignD5yK+lmyUoXdHHLR
Fuu+mtqdG2j+rSsKWiwdgRuVyI14NTQau74Kg9dwivpX34u6jV1648WEjPUqzGpt3+B2vYJ0yFHG
JyadGZsxymcN8tuAL8lEMpsy0jkm3CRq1hwWqReB70B9e4VXidOsdJ85IiNLz6DDTh34EqfFkRUC
DzjiYLKeHelDyclmsS3RDyV4k1kzUCjWHk6WWE8NlMvjshOWdUbxhzXHJH535UC0DleNEt4xitSw
G22Y5UGV6nD3C8c7WrUBN7/SdLBLTNdrkkKSRn9BcON+sc0WWGJduzf5lFyPWdYv/WHARSGdbGNp
oJcXg9UWd7bVuYe0SEiIkTJ8y0UgKYwmgpe6Vt+ioUhADZvh2qoJCjGnPN6JULNWCf50xnNlv+JV
r9b5vKZnUN0RGDHnsiFBPxF5imEthCi3tXqORjGIpwuNde881W3j0q1xfwaW161g5NU3Fuv8Vel3
0P+rHKBi18blFhaBvLJbGd8ZtRa8G8yMmeSGcbduHeEeJggkO90lI7PNrH6bSV/bF27AOa0XWb5M
hnqA29un0blvpX28JhFmevU1SN1RnIY3+HOjM+qva5BLjMNYLenTUdKJJ/Zt95BXMeYwyxrt60nn
aI3Kqgca4uopHIt6zCAANMM9LN/gWxTF/g3HO+9OFLQneTt699Xv64hY7grkK+fslx6O9EMbRowb
9YnQjHBMd8w76Oa5maGhS8CMjtexV9fpYKpjUk1I+M2pP3aVJuk6wu5AEGV4e9/HskqaMAG9Igw3
foAEDEmTT/vUaJqN0qLkxlJ1ug5DL4CzWATVO2LSMLgQJFS+aDQXgGHRosSAEOfWkjp1OCJl8LGJ
eVT3HN+PKPi6J1H70UaXOvUDu9i2c9N8XuOdoFggC4mXyEqzfQlx6WJybIYjhKCLd7PLM060LL/U
9bm71B0SssvWqd+8CZ6LMWVi0/Wltp+cqX1PGWTNgOTulqgkv0DLbsVbU/nOHi5L/IJVAF9F5gr/
0kcBQvuF9IoNBA8sbZVtnrWtlOwGhWoPqjeMQ5diDnQ1vWW+FoVbOGWsdBo/cxYafnzMS1x5kRPY
W1iU0b62nZKr2ZRfvB5fUMp2gt9vhD095PVNb1XTht61uqsjl0gLZDO7CUb9yuGIegCffRHoMOPr
ToPhNiHrRCNiq6OLYeL1/+0x/gOo4T8HmeGEP/jZCf34EtfBy9f+/b34MNqZsQn8i5e6+Z//Tcnf
DTG/iso2DecTgoGxDqdyCRnheyDmnwmFxu9KtwgiNBWbi8tE6F8ncwdt9Wkew4mdhr39z8TV5pyF
+e8Hc9sl7RBNq9IJRBQO2KlZe/32chNmfs2M6n9Yee8FRGBCT+8J10nrLVt5cvTT6hmCJZuM0mkB
I2uMqhbDgd8uGcXcBx5ji7zuHs0+emqLitp2GrdD0LW7pmyuIjZfGLnkreetFoKprtERW8lj48yU
LTd+RNqLu3Gc7ZSCDWeOToG0Lvro8oe7cfXHr/Fb1qZXeZg1fF9mY59/Occ0DUuHaEXSo/z0y4En
C5ppzCXimWhlAIuMvW+Qo650Wy3/2SfJeUBng59EDU8B5n4iWkCRMFSXpnJVYzQMkWsTroQ4Jl8Z
RIH9/KPMz9M4W86rLGNCG0W+tGd0x4+3jP21T7FxaCuibt6UV6olQO+HBjYuHWPjzOtygBR2h9Ct
tIuV6kg70nFsoDErA9pvPVlebbGVIXIUnDJZlp5rlphWllU9+lp/yG31IoKVRN+ysuz8tRrScYnn
lwzFrMTg4bPWWWG/8UydEwAyERNHy7LpkHBK4mhWgTe+2N30VJbhs1niBk1itFs/vwbGfOf+/bFF
OEsh61pYAWyyzSymnB+vAXFCCB5NzV3ljrMNIGga6VAuiwCQKDWTmz8Wqc0mQnADoluSb2hFdenX
hO3551/k9EEfv4jCuytMhrcSb4Hx6YuMwTD4qY+pP2lYXEE+c0DS1KPj17NiJ3lDd3qQYPjIBDxU
LWJA0l+IOVBbTrIJeWPiGh3vbQSanfHUlhPYyxT5z+mIdimxbn7xZT8nkipMGSxCeJfmSTOLy8er
lpHGoMWMTta6PkVLYA57pfd3stNvS80+p1K7q9v8LHLt3YTgICz1e+ZvIKNQ/ASU39UU4dIEI9sY
jBQTzI22fYd2Vf7REYLE47/nf/Pa/uXu8j1dpKmOzejTxUEyvwE/Lkp+qYgWVRrBeMktYsxyw7mE
jPN+uOytln51bdDZ6hl62rSzkRw+d+VEqBmcUzq2P79o8zX58QZ/+i7O5+xUuzCSRKEN8oiKG8g+
JZMeeDd0AlIp6l9+3GlN+vx5jPt12JU0ZoT+6YFS5tzFT5S7IqOUtALC6xDmgdxNGdSN8tbwEyLL
xjRfdbkGii9V6P6C8UzqwbMaTbASKJ7Wfp8SsO5mjzMZ1K8Ry0f13QR39yACmyAkeoEbzwqvXaZu
mEHdhWZOR86LJGnZVK7EBoIu7wQK1NxYo5U8kC7LMTEjvUTK8piUmr/xOOYsChdEW4NcD2Yq5bKV
4pgRlW8yzJqufn4jPi7m9Dl5KAgGt232KoOQ508PBYLABEQ1N4JGx3qSPiDSiyFyVnF6/vMPEn99
TeiV0RLjDMkHYXz69PhNNsNWj3fajDAjd/F7ZhmomzA3IMgyWzogwQN4mltZTmdNO96Yo3jynHQ+
fHvPFegA+KJfcVMvMj3egVVBJFSdD3my/fn3lH99ND9+z0/NNd1z6Y0XyJi9yZ7DMUmhUoxPo/TR
Y4NGN9Yxdii6kIleQIjAkJ1XA7ZepyBAc2Ioj3tZu2DSglFlKM0dh9HuvKqrlLiTPgYk43hbv7Tl
fqL0vWcKli+Lsrno8r5byKLF9dEwM9boQvGo8cEENtBomUYGt6UkyrUnwBVVI4loommpe/KHoYle
vKBADF304zOmv3vBoXyFnaH7ltImoHD2q43Xlv4BPcW0iYPk/ufX7K8PEacdS84ZzzQ22UE+3tq4
cTlumJm78i3vAgoVi2C3DE219Qqx+flHEVr+eeU4nTmUaQlQWpjnPn7WEOllWwOCWgG4N/dtOz1A
tTQPRcW0LejJcCTJC/rCeF7733xFkFtu1mBkXTbYvoGyPY2GzU2xqivDHX/x5T72Y+eXSTGa5K2l
6cvb9PnYl0Qd3g+ifFZRmuxHhj+WdpjKL7+4Ap9PKnyKo7ssYorPMMRMEvtxHa9E7LeY93xaNcGc
cERzAEL6yrOa7RQGBBjW7Q2Ml+IF5NEXUEDXFsEVtMrkUskMVeGUFrQMwgyty3BFEyg4JloDMwCv
2C8OFH/3TW1iwq35saCP+2lxaaiKE8LnvJVj56wqIX1cdMBkXQcLnxYRfjK10XXv4GDD/flF4iT/
cX9RDqcYh3G2xa5MUfjxGnVO2ky5n3urtFD3Xq9YYqjy3BwFp7hhSr4MQUn8/CONv/tM20DtL112
WJyfHz/TTUddqthCiFR621QAJRRhMewLqcyVCDnap+1bgEkB0P5LFNovYkbgeNprA2VvGWh5fuEM
2beITqiRq2UY3f38+8m/LMCY1jjfccBVCJ55iz5+v0ErjVwXjQbosl3RjECc6228iNcFoQMc2HhK
DpKHqB/Et8gK9u1kP9d5Rcir7T1V5VQsIlveiL77ht9zk5I15Xf4SrQ4vOrteIvHma0qZxhX5G82
+y0qAH/T0XMhlCHeToXs90wk0V4OSOOHttwAfXsfU/2uHeUTBOMVjZVNV8Ub6Xv9ujNxHv78CqiP
ZRnvpyNsyhbFIZd3h1nvxyuQhWFDtRGoFXqVO5Fa17QldiojH6cohmTJGL9a11ZwXpCijrKff5MD
RycjvF43fn3TVP2NrCI2A004yxB61oDm3GkUsjZmwaq0ETq59GkNszr6IMkX7sjiXWKcqnrbWKg0
Zu4q+xUtlBeHDAI4uM5tZyInE+G54ZurOBFnKJkvughdSq8j/EVb/zWYxw8AQzAHhquOL2roKWqz
4ThE0TFOoDYMpfXSNc1KMzHQRKSVNo19jtZpW1KDrAck5AsUAxNJgvTvIRCTukVqMGEdSKfSAaNC
jExa1kuSprHO68ZeWMUbaTaXeUKuOVq95v0Xt4Ir/eE85uD4o0hXlHbzgO3TytDamZcpZDwrQktL
IrzUrst3pbkw4DOfPuk7YvL7ufcPQOK/VK6f/vF/3eUpf/1X0cWiafn5iPPya0gD5cfeyfcf+W5M
V4hf56MwgoY/OyR/yGId43ecrrq0DF3CQ5bz6PJ770RAtmQdZWdTOqTKk2f9+1TTUL871Ip0XFzj
Dx7mP5lq8iJ+ejbQVjG3Q51LfwFlriE+vqVhZ5dA+JtpUyQ5I/k8tRJewkHTzwNVBUhuOHnDevTW
boqJbC1w9hwJM0k2bDblgagDA1Wijuu1M0PA7l6BK0mIRrUk2tCw3pJdwsHRCAParznNSr9BGAbd
sq/2IMPKxykkSYfcE3jtZhLs0jiqdm3aNetulvaXDEEuQ6lksyjBmLsry5TtnHkpEErko2z7hZBV
lZ0JJ5GHkCqZnIlC1muvNbVzpFVxSe+VJZ8yddDevRrq48LpDfc1dCuQezr+BZxj4R5Rph7AfZzy
o2OZ9kONWXVYG3pA7HlcKKZzFVZQJm0mgLIO5PJ91CRP/aSH52EV3gGCg1BG4BlaRrt6IQstOEhR
BjcoT+1be5LJuR5GYjt0Wr3GdITKY8wCsLuaRlWv01auIGTn2bR2uXRrNPAB6d2k3+lkfN1UGalN
sUuWTj4kB+E3IQVR/FX4BWREGy6P51jQucHmrdEfjc8DccnHwAJ9RPtaIzU2tGMmuhGNpn1M3hOy
M91EqFG3RUDeQmI5B41oJ1LeSFmFI5IYaJiKoef4AMkaIR1Omyt7rIcbt0sS94wUBjAbeuSXl7EJ
4pMFWdQvIK768qzv8vZAApOoFjqNucvcSXMq3dIhCS2tGMgeeqpRkyFFEciFprB30Dn33au68xk+
2Q2uw02GnX1fD7T1PQDStM/hhMBSIwYmBNwBzZ3DfXThu7W4CDsteta6Vmy8us+2WaQhqgRYltyA
6XO+wCSw1lbjDMe4TrvLhtxnbqXbzYEZg8MgSvRVd+vMORi4H0zx0Fq9fZ8XRgUQuq+Maxfh56Ut
aL2srMrLdy0xSDsArT0Nv7YbHxqdNnRphdF1DVllbWqEqq6xXo3+sedXAoicGPnaotD0lhl2optA
tc6uAeS6I6Z+2KQ4tJOlF88rcqHy80QkDVv9LTY7GpV9x5ghuM/7EgFaPHYXbcM1BsEQPQ1Qqa6s
vOrAKkD+cqrsshmMC3McyX5rh+k6LhMyP0qNS8ZUd0n8ZXmOhcxMtwkTON7qcYBJVlW0SMdMYyRf
YOqa1q2L/XmpFYO1koxX3lXkPTVmUh0xXWbnkGgHhOd9BHMcSM6urVN5xAWX7zOiP2us/IZ3GdWM
nBZZ52UHwlsrbyN6A69VpYfqGnB6fW+gp2qWQ5Coc8CW1eMgZJaujKrgZKycfM4gwWt11juibs8y
Iu5DpmSmMz5LEDrmbe0wDgP/ln9N8ATZ/tIobbvArN6BS6eB1YbGg+bT1joLItwKM3KVJJjclDEZ
n1jW3WOWw4dhsGmG3IqZBtG35DLtkd+H5lI3uvFLQKd5ZbUNKjMx4HYMYO1uQz2OEYg1VhttwpZl
mrx5U4/XymqThzAc+m3rVkAGWezv29IFfGY29QVi0+wL5EjMUL6wFTP6ZNC/Kqhy25ox6znz03jT
wZTYdE2Exy0bJ5O8jWF8zUDuPMGUSZaqaqzdwFvEClsQxRM1BVGMAiJ4ok+AM5FClvlXv2vya8Bs
3juIjHEXK84zVT9060zo/MGGx3RmzaxLDtvBh0FxF2qGBBOoCFNeNii4h5uxLgkjVjXSM+hu/K9n
PjaBFTw3jokhokN754mBqittadCcQ6EtxFmKOCIlx3WmIxqxP91FrYTQYAZItRDQ2ZLYBUdW9lYQ
XtctndqNzwcrJ0ZQ+RhPjQDCwtRSTorCy7ejm09L3c25lYl/mdRpcqwc4ttJiRgo1qU/4ZnnAYSX
Wexbm5xLXF12vx2HIT33Sf36YmFrPza5y1AKRUnx3EIHsZcVzkJYSf2A+l+1pXnwNbIeNvR3GZqm
SaGiXexnPfkMYTq+gcKco0fi0X3F+kmKZkGuDlR4xRhwMZZ6RvyFmhUaejoiMpOhJfGyBWSR1TBd
xDolrys4eMQJhiu7bX2QnCzw4aXK9QphadDTpeSYftYXiOHPE5n3O9MiMo4BbHrIGeHues91aGtF
w7AEKMTYoQ+aGzW0RHUnlf5SNtON7JRjEgHltbf6EEuyhbSa4XmDwxr5R9YpsPJTbL9U/qgnq7gY
7AeYF627lHYR+bu4mToobKWNIb5GXzKxZkfNUh/78d03XP0Lg87+tnFnel/ejc0t9G/3UPIOL+Aq
yhujLuUDmv30wIIt97UFmdiKKn+F1+58cqE5LeHp9guH3MnJnfai4YVdMEyfvqZJjja0NWfBqphq
27oIgxQEYcqthH1fptW4qatey7YykeY3Dk5juyk0Jx2vTUzKX6wANT9/uu4cYiO1/S2qU6JXh4j1
jpZTU+zLfK4wqrRsLjVYoFi4cfE8FIkLLySLCB6KpU7LyNIMQNWeRjT7yg44r2FXq2JrVccgPyBl
YKa5rNFlNmunq5On0ov1yyrC9ArerLWBWXdjxhkCzjMqlaR9KnGUEkCCkTvH9s381Lfq23qS2guE
IEssrbZW4RqUNQuNDpBgGSSCjDmBlvmS37rcewHa351d6P2AGx9oc01OkLlK/d6H2UXJqXb52GQw
hlvC7OcUsJDQCj1gwbYnQ6uROKX9uRr0ApZh1thAOSyj+GpQsBI6nHX5vg7Q5C5lX745NAZ2BX6N
t1Z2E6lKg+cQqCY0q16yM03rIi8jTg6R7j9ZNLaOlh51D1qYTMRjjnV03hn5F6en8EGkFvo4emja
H9KqjtZR2kXtKkizr0wdsBj1XvU4ZXl+BtKUe96Brr0Y4sKltafPMWY5mY9pG9F8TWwHuCNS6PIq
CqeJVx7QP7n1SHwJ7ixLtO1tXAHv1ql3yMQQs28nBcQR44n21xoikIMmHf9Li/7mHTA+IYFe1yc5
YLkcI0Q4ZTx6zDxAJGIeIt9PQHnGVy7tpTJMIoU9EaUII1oiQEqikEozqLaV3YhFURLcqKXjtAbv
teVAuoshANakT0bZRo5MAR19Ql8fDwwmTKcn73lOmNRrxRIYpjH85dCNQZU0JNemCetJzFO598kC
3TWkSh9zXEh3Jblsy6Tx0hVKyQHltp0ky7rSy1effJ+QWIfAfBtS3LAAm704n56YZr534DUXGiKz
Xe0JuJgOqdr+QpJ/vXDb3M63BAOO9P6JStqOYyBGxIeV/mhIdqOHoMw1SPCDaV2Zne3MFFYU2MT/
JuXOb4oE+6xLUcxCm8WvRLUwqZpYIFZ0VAEu204A6sXO3WJXsV0sgZVPZ0OIMDl3w/4e+Ua5sPpE
9Ns64pSpEfLTAUnRFiXh8ONOq1NnWFTAR6D6CLe/c8AfQEMt+dLY09NX5lfVo6AHYK3SLtbeK6kh
xKb/wJ89ONU1K5AO4UU3SceCwVxj3OhdCDqGr830EvcqjrLqlqY8ogfPjmGc9mNWPtuhAhdQwyk3
VhzQxifHGYq31le8HarJSvfAi8fBMMyC/MW12/oOhaZ5ZJYkrtLBqL84poMaySxaBNKw5Uf2WX+0
ll2ouVsJ13TH0wNhGiZx+1WiZg93+QSUkZ5RShpwTswkQ+neQbwxYnZeRXUz564LQgWSlLxgrVb+
IxN0GzkG9NxF0ibcwCY3m4YYUc14cZ263RvgZTAepuCe8eByBJvTb6DGTvBPEt1kzMOZsEY0MtbH
0WPMvSi7sdDA1Hi6uw0ymb6zSEQvUd+r88TRI2D5Q5mtuWYwUkGroBFqjACFV5h53srw8nu4KWBx
2ggHW9hry64wjT15dcOCVCYAxlbbr1lVs1VAACKmMEWYHgLNyAwIExzBavqJ+9V3C17tKrDj16G1
omNVWGCsVYjXkCFEZbyabYgOVA98bHKx2BQjdSOQqoJe/HCoPGSQ5RRHa9cMkkszmrKrXNlz3orm
20u3xjW8KHJkR0wDluQclS9uoqsFCTPWcxiTFobNmQFT4Yz++ehm0WshiKmchsS/bVMjfhReqt+G
vU/9p9hDLrqi8PqtgG6KjUSB41/yYiG3xwCFygz08UHwWqyHtG8cgp53+P2gj2a3I/jHmWMwjdeo
GBzgtAXB4K1y1QHICslCLfTb+zowg90wcbhYVXYC3BGlf/DVNgsOi7nnQNlS6TarzAnGGWLeg9+4
7ZVNsOdZwg0gaLnD9A3a9Oib/BqcjBj2dDGRAk3PhjtOY3cneuRi3FCP8utJRay2gyv92zKfftEy
/zzSoRuPJIOen6vTOLfntsaPHXPH5MKaRTNtsaJF16gvmwsZzCLWzFB78J5qa8xC6J+3uD63g9Gm
EOgxNxtRQAnD/NSCFqGRT56Khy3EguTIKaO5oq9JB1qH1VFMVYshdrTP6r4vf9Fc+zwimT+ZtgmN
NVqerntqBP8w6C0sq4cohDy8dAqi7CFmdYBybO2ArDGeFrA2sq//V5ps//Us6jr9fmQjPzwZf4mW
Wb2kL9lvL9nX3wCK/tiUo4v2/Ye/a5rE7ydnOdNRhhaYCnhM/+jLKTzpysTwiKwOlYY+B8782ZfT
f+e/KKb6NoWscFy+y592dWJqQC24s6IDhwzjsn/Sl3PnttuPLVuLwyAaB4O/pMFCMrftfnyqKq1k
rTPkGvjvt1bZF6qytoXt3kUea4JO1y2BvrjoNO8u9MV1MdkQ7nzKz+cAAwBOBP/gBRMYU3uLdWhj
aNo6OhJBt29wnA1Yon2vOw96/b4U5jYG10RKyZYIl51e4HTzSI6FxFAt7ZbIrZ6fBQqW0JmTZXIW
2+a1XVkXlm1u+1JeS8+44DQtbP918IPNWLhrJylvHa24nQZvTQW0lEG+jFN9kTSvU3I7zh2SdNpa
c4lJ7aMK56yFP0NM3kUm4ZVjXCua7IrpwroYxy2hnGyTzWoU3h2jWXznnrwj+WNXobZKPaoeFbgp
aJhqNwHro9wnrdtXO0AREQSK7rmp3DvdqR4jySXzdbk1Pfus1OI1g6s3rTGRd6VHidL9hyfvey/8
R+nWSTjzl5sISsBFKW7w1PAg/XgTEXMIqipki0xJYT/bi1SlR7Stl5DUL1UFxTII4mU8qbWGxqHj
zvz8C/xlum4BdGdwqSMwQm1A+fjxC4QlJmq0q94aN+VUFOERuTRZ9pzmutGy1nEg0NYSm9N6Exn1
032XhdAWDUtDKk4GsVq8j2ZTbRie28suNqmsDC8lW306Elm0a8s4xtLhQ6ahb5NOtb6UFhnr26wf
XSQtqF+dPlkjSSYkNLEXee7ha3fNQzmQaRYo4uo5d7+NOGsXPQ2rFgz/VIfGknfvwSzFwQN+7UTt
ISuDcp8D5D7884X0/2yV/A//r/+Ekk+BSPOna+RV+5XZ53tVjT8ukN9/7PvUAu8UoVrzfIIgAsAc
7LffV0frd7QH85T3j1Vu/i9/Kj4xcEnBEigMy3YdIVnU/pxasKYKx2CUYrIK4xr7R16s+QTx43tl
c0B2WJk5ufNU0+H4+FhbhTvqbdGWlHrWk0dIEDZOWh9+q5bJDOsEljpsfFcd4fi8/fyV+stu/+mj
P73SIjIAWug1GHQZU4EG4P+DCP5O7L32peH8MU77D1VkYv5NfvxNZ92BYc6NAeSNUohPU+TI6yLk
YdnIKD+WSLW9hmA/0EGDI+LNWBePuh9FW+50uU6SFte66tQyLjDlE0/0iEIcEuHk30dpfDU26tyK
hqXZJtai0b2HcmacxCWGTlLTDwZJlb9a//7m66NRcRyLTdsSPFCfjoLQ22tld6VcW3HD7JcUlnqR
M+ugApFz+TlZqGZHZzUxRrhyASndShBzYih1BCeUMnpbPsYTDd7I0Z80mR0DU27plr76inAh3IZn
aHUp5UnKWYgUpF02i+D93tkS7I7+yxnLM/9/c3deu3EkbZq+lf8G8kd6c7hVaYpkkSIlUmLrJCG2
xPQu0ufVzxPVPT1iUU1ODxaL3T1ooAFJlS7ii8+8ptPVeyxtwLdjsIjEROmvOEg4293aqPsc4dXJ
Sj+aFo7C6/yEUwsyvSlWT5WPsfGwT7LiDlbYx7ZcAUt9XyXDDIL/1yVbtshZ4WXRXnCuG4RM852G
mIXnjlLeyK5B1iGxZbk8zFIbn02hGZFe6sm9Xah3tVIyaPG4stFN5RH1i/VbXg3wXL2c5iwyD1d6
jsKR2dVULYzXhW9qY/ZhRToRnZS5O6hOQTHg0LXCOs67NCG8YZZCxml6eX87T7EJir6vL4e+cb8a
KraLSZ01H1x4R1TxckzHOOIrnVwvwJNSf2qtDYfVcVAvJ+1q1tP5Zla3JIVk3PchOktNaCE7f1mP
XELFj8ecai1UsND8nmX59yxp7As0OzxIWd0cmrZ2p/QtPPE1vcRx/TfIDJcdbJlkAi7t8GksJNMO
Gvok2ITF9DqrGMHEqu+u6VMhOtzcOyifHt/evFJP/MV2IpGi22wboNWpmp1z2LGX4GLdDqsWjGVZ
JziJbQ1m6t3AKVy7SUtDF6E89BqwsElH5WuK5BeDMCwDdgi3Mhl0jIdFR/1DTjbmcXR/LDj4fTIK
tYwQVJASZdIJHRW7Lwj7jPTgYvX5nx9Z/40B+9+eVy+sJP8fkqdyYKmDnPzpe79K/aPm28/n2V//
4i8OA+xgEmkOIYBKJ6Lwnyea8W+bsbEOugsFoD/Ouv880SyG7ZQGHtkbtGTy+/860cx/E9g8ZCQA
xkmyhPtP8v1Xxwo3psJeACpsE/DP030dU5vaKuc5yBOcFxdoxGCFBriZGsx2pcqXy5/ezC9SU+ts
I8gXAQxVd5GjV3kfZ4G5TBBdRHZqBoTa47tkJs8ThMrdOhPa3r4SPJHX17JckmDivwGqQT07w9Ch
0Q2koeaAGrpA9cOyEP1NUu0CLdf2uoiT6XpEAyAq9aH2k0543/FlnW77eilQRDBpL5Kqa5cMJWha
FZJdDX45EV9MBizSH4PRgW0n2uWo6v3TOm84D/aaw7grX1ykriqM55zdbDQ/cNg0aFUW2n3lCqxq
DQdhp6vBFOptVsLBQk9pi5mdOCYNsbRBPGlGzRjCx/g8LsDuGUMir1gDMGvicruFhIWUKHZtSdQh
gISyyjDd5famXHVQ5aZDZ46oYBepx62MThx/cekNo7KY0m6HX1E6CHO4q8MQPFGcqN0M0ewYGuGX
PXozRpG9yWBwh6COeK5yRVw6vX3hJKwHjWl3oDj1sV7te3gMResXgP8u0dTZrjJGbJhtlscl1YfA
jNWJI6x9VKoUjVtVv8vNjSm55RwBhWHE7ukwVNEoRoVEEcc1BRGPDuKEaQ1d7VKDYe0rtlvvcKsp
Ak1ZUFNf+0f40ozfFrPw4Xzj44jeD3bIzs2Ao0hY9ujspwXqEogiB5biBYTLNSooUzUsqXpd+bh2
k29pDKdsjRm0C9qV2O9d6J2GejT9sX0sqBBo3z7XeebtGLfyP3SzgPo3h75EmhnfwnrXpD16ZiYX
1+2KlMFV7+aRqmNEnnSv1cm3RC+uqxpOrCxO55ilrvXUj2atRNms3jWFgBTOGy2MlKa/mX4aGCDs
1UX/bo3AXArnomtygGlaFaktjin0A9u93ht3KLAzkK+077ldhcT/jrnVENFsesYmtwgKZh1MSp6n
2L0h6XlG4ftYDcllgvr+vpjiboe67qeEgSiDFhr101UaF9FgYFkNhy4gv2XdkePRqo2BwBxzw5xV
P8cJ+UM3MClTmsd6wt9khja6M+bySvWWH/bY5n6xCDssKjmSWOipowNQ7yaagMFo0Ore3JqRFkow
8CHcG31NkxsjXp4QPfuyMJpmgjujbGLgv2DHyn1sJBjiIVuHnGUMox7led0B8VrEUFrtBNXeools
oT8WDAXTOKbvGXO5cs6eYkTZoQ8NzHIMZ8+IHbQ1slmVyqXtWVewkh0mX/TWLHWj7tJqxRKpmVc4
hCWOQcyTyUz17R7TR87e3rmfVZ60pnzGAdTdmWqLxnPT/JGw/u9Gr/1/eLhq9Lo42/5e/fF/1d//
6qzdwE5++ib+ddGXNNr6l4fun7/0x6HrGf+mH8YBw5EGe+3USvvj0PUoMCEo0JZA/tGx0I74rzKS
89ixdMBvAHsdlWLyr0OXAtMigfPA02Lcwt/4R2WkdtapBpGn0TVWKZcJyGhTnjXZ+r7rQU8tIkpn
ZIFyq3qq0YQNDOb3uzQWyAhu5TN6rS2A5uIJ9ix4D8QC9t2kQo5uEJOVrmfxQuMmnrPPU8O2/ekl
/+Kc1s4OT3mLoAZVmRbwRsg3OFx/6gMaE9aPICpwU8e5d6eAZggSpre7NfXQ0+vg9S83dj/6fQIi
q7DZXv+jG4BnoPOqHNr6L29AL7TWnc0S/LLUgzC2ZdpL/Ba6CHGQSiLviH0qBcVwOaZ4lOQa9/H2
LZzlKqdXAOdL1UyKYNU9z1V6E1nYsipxQsZFeUeqdo9C201GR/Lt65yq0Z+K7T8vZHMZ2ciHD/fy
Ue0t7od1bbqobkBjDcxYECFvH5uu8kL0KHC8t+MGR9De2E3zjD1ArNZHZdHvrBqdCvw2FeBfRvyt
z605EIuufjQKDjS5LyLPWsTFWKMgJirkYZSWcIabnxNYKPgxyQfw6LSYz8ajftspEP7SmBe5dvZv
MMUuVNFzamUdnPSa0w6+ykrBsaXXa/ywzaaUHoSWRx85NJd5uVn64lkztiLop/KpVirXB30Gd9z7
MWGUbWzOl7ffnMzgXr44toQKVkCz6RhRXL18cc5WY6ORdW1kGcyqsmX9LWdQCOBnQOBFz2j/gn5x
uskL377uOXORL4ZOENk8hRdMAMLIywujMem0eKbnkdunZeAOZX7huNtwILHUMV7D0StzNvxLhQ4o
YWVD18yf945b80FLrPpKNMNgzHswgtlTWMwX6Jo67q7pZtrOOd0W1GvJN1cFrY537v2sFpX3bsOO
86hJmZg551wwdfRMDJTSMmJMgS2LYllXyIxLTS5EPuaxCQpnKKMBxbIbUo+LCa3WuUguEZaRB6R9
8UcAMpewsY62g+shs2BkThQe2ll5GpwWkDc1tt/fvu/X3xq6LnBy2oI6+qbnrJsBUQpVTNz2rAiJ
7SIowJ/BpFa+aGG3Huox5Gdomurv7c9Xq4wrmxRxtLM1Fa3hlx971Kt4Bl5XRvHUt6AzPHfnSW2Y
t59PNvBermUoG7BnSMZ5OALOy6vUZVsZSleWUbo6deQAVrnEO/Lp7Yu4p6ng+WWgWOt0QzXQ3/pZ
AYZ6k+PANCijRi+fYycW8HN6kqekNnrEGdjknjJztsAzCGptKy7BZT9r2IYx6skDSxroxQtJk2Yi
JFQNloJQUKIeyp5FXuSzDthSwc+6du8VG+UH2OI3OkjdCxB60A0X0vcJOZlQMWYkiNAflgYakYqC
zt7SFn3P5EAJmoy/1qeWdqS6A6kwoj+ENi6RqHNdhsrUinDf3F23IFZ0KlxbdCTCemTakHqtGep6
/3mBMQ+sj95cPORP1ZY9WblxV7VbfBm3sDZN0mPUaEjrx9SDWV8flMVTJbDLC/GZfxYJeeXYEHM7
g5S/mDwWnMb6hv3PsL8tn+yJNWgWyUO3tRuG5t49JH5W4FBw3waAU49pfDrpATZnj8zvvf0so/e6
gsYB5dpjJypcf1lwtilMLoZbn/lNkwbsQncKX6azfbK4SCF3yFbYZbenxvpaCz3fg0iG4NTMJA/Z
xkG82UrglPmzlvLQUzK4PvZLjJyG4SNEsh92wemJJCMzoHkCWUHgnse2DwoOED9H6GpfCaRt0UDx
zVh4ey81XBqIRrwfzT4N2WJ1VFjZExSPegc6BiXSnhO4XAcsXMzqaJXtp1zz7rseL8xuZGSGFX0a
kfwYHCyTuS/x9t7VvfhoZ2iuV+34gQQjip36CflJcQEeXEKyIeB42DTv0IBt96LLbVTvMVTsyufa
E/gAd9NVN0yIwhTPVGFetPQ4RiYmD9rPlUWpfR0brEC3nlyf/vZNETeUY9I1vQCC6+sjHdG4ZZ2D
bMBqpiG/ArjV7tepeKYWZsXyZVE8era0hj9SO+vzVNDmrdEkBO5f4dMYJ8+YurEIgKfvYOy7uCs0
x8WhwkPcMttjAfRkNFX5YaSDs7eR/P7U6yV2IukTEMbmgMMZelxIjmAgyTOSnh7tnKr69GHIDG56
GxWuQiOmndbuOrNs1BaASo/yDw6T2ZMbkzNaiXFnuKUXDWv55ErX74IVrkm79NPCFRv3jXFt6Cxm
HYBTjFbdvW89Epm0U4s/tkDFCoOgf9cPovctidk0zXa7rhc+1pjJbEPh95qqNZDJZwUhc17vepXt
AvAII1i4EMdZZcKLHma2b3HK8nGEfTrdOLdLFjPW2NpDZo08j+fWgSB+occABHzAirZrF7aak7bX
jed1iCnx7RyUN4Otcy40G/6YBb9ulw3Qp/NlOjYz4gx5EefhMlAJArx7BnRKwHJoEWw8B0sXgqT8
wJVq3ell99i07Ct7yZ87m7uOu/zpFC6wa3geFvJodyIS1HnCBXpK10FW+K295juhDZTzeJXsKAbI
hzbyKbJkhMgt7QApMT+WjVv4DHxcJI60IrC39tHSm+PpdPJUVrEK2ChEhCK+RPn6eVXj+FbPGxh1
fQEvAh626Os2tBbdJ55+r6XTn6GzcnHUQAa3zx76nn1sKvzuRKxF7Y8XgkyqwOV+IL+S4WyFYIVr
un1zCkqjRXhJh/6RBhQH42jf6BjFHbrSuqPeQURYY6vYbv60YhC7dw1aHSUQqj+qiVSeozZGYoE8
duzGuTk9IfZiz3JLdJl1J48ChA/vhpYbO32DVvduMgQ1oIvEIPzmo5tg44fUGsumdqtdrMN6b8DQ
qbmpHS1BR6LFLFlsLBWhshhPkc5FAW9vpe59s1pEVDpZkF69+UPvrkOwKOzfnJ2JY8/Gv3JNBRfA
PgZQICcwCiuPbvpxS2rVt3L24QK86/IUibNFJmJ2UuIOT0+CM56+0ebS4Qd5uuNf2NyJu4S97Fi4
PR9gzMY2xCYCXSD0o24wPix812o5fnoiAmuYn5fnilFwU5jfslXR+NZEHKxpsTLeZxZTrLxIucKW
jb8JY/sOumQbTjhW7OaGRSc8Ak/ZsqxAqgLcnPg0hkdCIb8u6MdHlBNRPUyJ+lRBddQl/GA3URWc
4m8po6NUwY7qQsOe2GtgcIDgC+QZxzTIYDrIqrZGNpCzFUfb5q51iR/NW+TSTukwKlVlMM6iuFbi
cn1QQWEesKmsQc6TXIHofjqtlXqonlBTeq635T5Wc5RkLUELaeJVy9MGmDgH48AWgG0EsN7BW80G
CAqzCOiZOUDtBJo/QoyquxBlKkChtshuZtgMdOFkfm45IbhaYIc4Y/ocJ90NUbK7ykyU+c2ZnhGG
U/ZuMdLFH7XNC4txdoOmwUYo7wZz1/TzOu8QtlUPot2SJ7zT6S2CXc3CSUM/f3AzRHkQb6Y2yJ6b
rnmMRT2EC5XV74pXbJ+w9Gyv1BpMWtIOn3IYHxF1Ds5zsaY9wpDLdghCgUjEssdPR3yg8TxRD0nZ
hdZGmYRajEwN2glwsZU6t9pYoYO5rfrenBHaKqSynisLuCIlT+42cWNoqQn2ZKGt7CVPo1Iufu4g
EjwVyErq89aHBdOvq02wndqaYC/LPPCahZ9qsL853vsQ4Fd68BSwgVDYQEfSqsRlp6TlaUptfnSz
QT0kJjkK86O0ohdcr7yxSRc/8o2EbZhwT9C6GgG/uB0CkE8XONk8gk+HKje2WJYZ9nw9Gc2EV7zR
R3CSgLPQBOTyqMXUAz/GTJDf3nCgyzRtDMH2X9I7/5qUyfyjwDfxAPEKr6clTpnL2b+3jpwwrL+P
C8mzoqUELbDm+8ZFPV3pBriuGB7u8qLO6MyqdN7MRlep4TIbdrWBcjBNZKOf1WBKTKB19q0yF3tF
EAB6dQwTdAIDN+GbJum1MourDFI4i3B+0NT5Elyju3Mz6PCep/xoMaT2nVkvAl2qPqJK/s0aiLp5
pyGytpl3SZFjCSrUo1AwvagTQqaaj3jMZ5py6NDx9vulYtfKygcvQrrFG2EpG7NnbWm8MMWnGlIx
kaap0/XBGMxOfmF8kEpOILO24+cZqtge+djyc92N5pW5qY+nobOi9Y91TIujwmbq92TzMOvEmC/Y
bAf18YYkOMXhIMRhTVyo1HBIVCtYKJziuKkUR9kF7hKCg6pZQ6BMjRehL8W/khW95ZHcOQbbFMOn
nkNGuzNAMKNenBV7UbFuG7lEKZgjc56fvGl0o6Ke7lKXFRPjW4l6Km52+PY+y/uULW+N7kPU2xpl
Iaf1ziPNHrX0qbCaR+xsyZEt9a7flpyhv8MKTfvl8jRWylRn9Fsnua3L+diu2lcKyC5UJ0tc9aou
Hkal+A1B+JuEqXSnr97lLAhqKFwV1/nM3bhkVbveG8iuZTjdUK28LkZOvMkd2nC23Htazk/tWh1J
MJZbDDIEWaBx3QryGkXzjkDbbOpGAO2DPjMNx2TE0+Gi60y/BoimjCeEfWPOeXqrCq397SSVWpMm
B7IzX5qsMIDpOPUpbkOCxTsFUc97hpn+uTFqAb8nmzFqU8BMC5abLptXWbLuZ4xggO8S12KYSEHR
pcuNohj4sdieDNISSTBNLbl3P2w8LDmmvk0tHnSomTeiOZSJFsUqulGax2RCSZ8TTnshOIf62rrB
D1X1Tyf6sFCEyXSnk2s1YZncxCYk94ScgOIa/U9jVQKFG0ZxkDOzxhOw2smqZVtoEDng1f0xEY9N
xdEzzeP8IWnZUtjl8rHrAQeDcY0vVzqTOw9HrA+FPRQfu3HK6LRrgZIw/FnAxoUlFX1wOuXEgJdI
NjFi8WAG+AkQxyM0UqI+3qy7JTW2rxWsku8iW6RvLD+Ag4i19/Cv348Kq8lbodOXc8+viOpZ3VT1
qYon0IGceqfVT70ZDJjZXFKsPtOE4KlK+6O7ZJGNUlRN1x5+AidX3io/ZKPKMjdohIk3XVsdX2Qt
5BkohzJjw6i9J4ciKCTtnfDwITYHD1d3DQliXU1v1owwRjOywBlKt/eFNVwqIywWsNpXq75tgdlx
eRCD5KvArnHX0T+UYkKSyGRyiF2t5nspXSlWO0ccZgr7qTbvTmcvdJ6elRTfv134n8Siz+t+lDJ0
0Kjg8lSpsfdzP3fKJ2dK8hV3tpqiE4GGfIdZ8mOHjDSqIdUW4rPIjG3kKw9buYWpXo2Emvaz1X1x
uxYYI/i4GZF8zIuyp9FRlQBrpftiSm5Vfdn2YFGwdCsFzBtYh1BYp1u7UuAtuwMJ8JA8nBqZpxqJ
efj3bKjSZ3tBQMYa7Dut2BBCUAbtqNvrcmm3S3VcFI2EbpJJKVTwPQYfGfVSoVNfW+ReyBf8UYSN
wJg+ju73XInFVd13UMwSmQWmcj5IzetbiRtfFJq2/PMWORMBxMvAqSGsBMLs5SvNS4hjWF3A7Ogp
OVxnji975rUH3OyOdlVYn7NT4KWPz4iW7abNJI1vf9ZfNMVwiqfLZiJGLqcJL28BABcMYEw3otzB
m6zXt/TQC/Kk1O7Q9lJyIU3PVYaWmfFOu+rEzz9bUJTvHsKABgGDXtLLS7OzgQUVHk4k2CXtsC92
fMSotY/ZDJfQBPT5dVRzULjq1uxgut82UzV98lo9QnRXe3z7NcgO3Nm98AVQJzLwOGR5n/WBR33E
fqqZcdWTQUA2DMyBLY3yzRAIy8Shm+j69iXl451dkv4oADPGE6pG4v3y8Y0aJJugKRWhB+6Cs13h
SiT8n1Y290svJgatyuzXsygPWTJVh7ev/otmIXMCbsBDQUGOsl5eHYtxuDiMOcH+k4wVNHT2KBP3
76zwX7xWuszIyaDU8IsxFaepbjElQ3BIy8z9uEHGFPnylUH8Te9hvIfD+ztX1H71YOh8snABczL3
OXuwrkb/bAEdHSVZ3uOaQcM8AyhxQUiglYPhZcrxiR8o3TM5Wq+Wco2mRWth1eFVXE7Z9+0fyl7J
frmcI4JcYbHTBD5bXEgNiszDkCfKi/xr01rrjz+S3yInx0OL4ubtT3uStnq5siBkO2inSZy/HES+
/Laj7ih2XBd95GbOjQDd6NeKVQcN7l5I0nAAa5P9DQzKQ6tWF1CLHvAxUnZTNl8jyv99APmMD062
vSPsdq6tx2uw4EGhscRqMzTsDV7elgFDbU1QA48qb6JPU5I82x2hZlRrjkxdvxib7pjSJPtiDK20
uecTKbAjIVE1j5pYaEyRx+3KVtfBfdZgKmzjZtYGbHDy/He7P1iDuvibSQoyOOhiGnc6Oc6YoEVc
JWMOaDMJUodOjQM4cA8N1cdCmWob3iHUtRLzoWrI99gHUVurKrTQGN9eNYZcOMlWlhzbnQ42XEfE
xduf7BxuyruRk2S4HHA04QGdz3M97GvQ7FPbCP9gPJisLoHGl0wgEir6Yk4Hay4F1r4Mlbkbpkk9
PSatVUxdu4aEULIDYk46eBLFZauOSmCBBQkmmTdvcMbCvko2rIMq9LtcOqFIzL4Xz845A6dnAIdj
g5WCQIV+0svvSy+DOC9INklK+13uuQqC7vCKakc8jrrV7HD+OyK5JGCGYBQMjDQUs9q+E1blZnq5
+JER81heUKmwdJScm5/TlCrfjHZCbDVqV3Gpz7wYiXrJ6sl+50L660gjlXtxZGTC6+jOeaRhChJ3
mE+1UQwHL8/Je7S1kKT8oX4uoRT4OMyxeGV3GS/ABqdawc2M3oqp2gTRvE2fkJt7ymCXHp2Keq+g
BDyBcBpZM9YU7/S3j8JgNm+UtOEU5P/fmeX96qMxwGMAaiF5DJztbDRVU7nqOA21UdpXmg+VG6Pu
Gm/7qifrXJB1DYx5/C7rpRN4ZuzS57Vy34lYZxhCuXKARTBPRMrVtF6hGXA/651W09pINZsfcC66
Pa+BDnIJGGpe37ua/hqZ4DgGyEfmvoamQrx7uUSMRkMz09Zb5pdIbhUttnVyLLn1erL3tMSigUtC
vQ0MOcA94jqxNY/N0hTXdkVyb6rJU+tqK8IHKFJNFN7Q8dHhMOHK+krcT9e5Mb8jpfz6HOWOwaGT
ENtE9HMggbAWp4LJ30aOsmZR07dIeOFCEowq9ROtbBBkavnO0PIXCT9XY0VAhVQJ2+c7qSR1mJtO
h32d09jsGsOkEF/0Y96YyyGtBvqpCQ4tWjFe9LSnrjyDRqXsGdJvV4JKb1Q/q2khxAyK/KFAgogF
oF3SWtFCbNeC1qDETEE1+oY1PGJzRzdd9kRqjcJJZ/wcDo6MZplFv1aOX0x9zNCGAchWNZBOcbk0
owSN8H0WGw8loCvIYwz1WpzQdhtDhzB1ZDIfz15kyQklQM+7E+D+NNvAzVzdMXP7XVbCdjZwuUVl
QhF/NRR0K9q2n8NtYxm+E+p/FTbAcQPgYSYMN+I8G3ARXxQmYSPBvv22gHUbaJQvoW4hFUVjueEM
pMgF3/hE25xutsWHrufO9edRL/FqE/Ols9IjOsX6ChWgi2zNkMY1e9RBhkH/7TTaNDGFB/NT4Z7D
uPsmzfkIbz/J6wQWbCzZBWgmmN3quXaiSExGsKhsRZh9rLtxmWu/cuSWMNPpKhEehpXuVv1moo/v
gwX90+74bxkm5usXCVEHWDuYF7BG2jmEwnMXzOCWuonUkilao4vlVivo97slnXCj88zPdWtV6Ium
xcWosUcKkxNyUehjZ/L/rKLu/FF1Kj/ZWKacXUyUHAZANtYeqjZeFmvziERItj/NH2htaAp9vnjJ
gxTZ9kerldMAiyZ7TlMyUivZ41tkOxdLjjsBC/KzWuIxqXpHMenZzrI3K1wl5qVKvGf+Y+hRKuoP
cMxlVLsAbAqHcePbH+kXmQXqGOikoappcirb8i3+BMOamNXV+Zw2UceQ4jQgqJCPQp6BiVCbsQ23
oURno0D1QC3U3YawACoynxketBenMcymAqpthWfsOa3vShnfOvseUyR8MYf2t5qJvp+szCIc5GSi
t+/+ddxDCYGMgn2P9fGrGmkclLYHBdtEKGNEWsx8UYaKYqUdeepGlXH1TtR7lTyj6k8cMCjKEPfh
YD87EFMNP0ZRUAnS2sYiuB1APMvJ/WkW058+78hQaCK+gOQANDLKMeA0dO7OwKwwEJ0oAgswyw6o
xnvB4/ygPN0c/HRIL5yAaJa+/Jj2igGggo9MlKUdAG7BPSBGxhSAcVkp38rbr/8Xl5NbHKSSoVFM
vDp2itbqGUQW0WzJVQuGdVVIqMyetUPt+F4GeWK//Zy7QWuBt4wkhgSyobt5tlZTMTFtFFkapWlq
HT1cv4iFwvEX0wsZNWHsMmPhGWCfwJlBGnrI0GY5aJpSQ+M1nS+zWXm3OT4IONt8wLpjCTp7wPx2
nrpgZo/6dFf6q9Jta4wWVhsJ5To71kYOgnqqmG5uQx2iBUMzfhK2nF3focaUX+QjfCFc/DpfaXT0
mV23RUeNMLdXGiT3sWdE6tNIp4slnkM6kl0gks5E2jUxLsFy4BY4Fh96VF9Rc3CMyNExDTIBlB/t
TsnxMSuSDzV1crhNyuSXONL6Y8ofpLryBLF42WlzN96tJGphVcI1crB/vI6bCcA5GR0dQUFbPWNO
7ddFZVwCULXAgRVe7ttVV4d1a2aXYy6mGaRFXdAliw20STr34KH/d1TaGFcX5VM7mB+SNNN9rFH6
K9dWNto/m/YVp1QjQvTNemejGeeJOqxikjAdEC1RSaVef7mWPcmXUEpOeRAU7uFU9xglqJG6V5ls
k0tJ48wPbdfVyEPPJsZCqxngncMHbArThwdhM78Yyesd4eCnWKa/l3puIM/e2dAsZpuW0mQGq+Lm
PtYBDMJrUYcMEaBoy7ftGptyvzazefTkz+fN8GFI9XvLAW0yLzZIEms0glFU9UHPe/edhtP54QXs
jw3FDiaPIdCoZ0udyKlZRle4YSq2SEAQoEX0zu49D56nSzggDCWXGhuOsxdMFWbRCEhcAAN5iwgW
7ddJYExRtBtgkAF1VzQc36uKzpMCLkrshFdEh12GjbMIlSi4xNqpcMKucbqA4ZfYt5vaMXaDP4Do
TIz2rNVfNEKN9+ZQ9O+0tbTz3B5irUyQcVOhswr39Cy3X1FGQTu6ccLRbhXm8nnP1zY2Hx0oLhhb
3kXrDW5EtLun7VBEpWlPD29HzRMC7kUYk/dAixw1VbxBPQkQ//nIZdsIRxeKHeZ2gYvC2vWHyjQE
hbja4ys9ZR6y0mr/DZOn+IYXad40C6jTetDdT0rhbH46OWLfz2aOTfLmPqq9zqvserK7tA2rIhUf
Z3RxLizh8DhD6hy7zrSPTjt3n/UEVAJeIVoWzd5wazg4JqWTUl68/YyWzjO8eEYSWPiI8MrQTcMk
56zYX1FINjuO0HBkVx1nA/lntU20vTc10+XpIbwxLW/VOXGOfcofMHiM9x7Cnn6pgR3ZSMF8g17E
3kjj5OAlqes7TY51EniuC5wHn1uwGAdlsoGQudPmZ4lxV+iVEbQimy63Le0PZWcLEAAbnNnFmZhq
94FiIbtsYSEQ4BC3gfBp5Iy9VsKqxWRFxNYuQTg0LETX3yz8y7C1J6llkHxcFUuBOzKXt+vWft5E
bhCExktrhh+1mYiQJ106XeuZMzwqzZ+6KH+byxqvTlpeJ014MJUOrWB4eS+XTOt5cbZRN4WIANI7
GRWxd/LpmCXzJ3xtYqjPJp4kAzqDmb1CZqHjtc+t1j0UbunsUDWDxMV8GWlqtlleT+lVVyQI7UGC
YbzsbVf8in2cUDhlImzWBxpJIxQbbK4Kdfp9y1vviipP3asDkD1r6M2w0/GgQwZC7BW7+Yx80xhO
i3Jf0ZD2iw1psbcX1LngA+IyGjU3OxZhfDbwyZXkpzw1z4bVpp2C4MfE4e3CUfiqLzNDMG4cWhxm
bsHYuEM0zHhzGkqlAMTp0istH9zDaqK3lKfxCAutqR6yRMI7MrZdsfUWOkRWroT63LIwbWS1BOA4
XxWsESyC8r2WuTkCXK4WrLgsLWuqgSUwP82T8WgqGspUnvMpTrPv1DrjrmU+dVUNinPArny6hpfs
3g7kk0FaotOJxizleJ22foVnXGTTG4hMRn4hg0kWOoLFAV6oxjs9nF+tHSYXJk1v4s6rpHBdMKhe
5NqZSusZtoF7K/eKgFO1R7h7eqeN67w6uaQchwFCjU4u1NJzMHM10qtSx4EIC5zKx+/EewRYll61
qCTt1a1aQkON85vUHtIr3RUEPEH6pc289GXqyOAxrt4zTfwyefFxTuzreLP6UAPls9iYIeSN363s
6ykH8srf3bfkhL7isS5FzvGhz+xm0vbnpu+2O70BzKd18L+1pukPUMU0JodLfcx71Q6KxEjCFEj8
wzyV4iMDf0TA9HS6a7MMGrgOTqMwNVpc9tYF6E9O14C5vAsmsncD/JiDV6xEjs0bryu7do4CdsX1
rBKW+7Yowl7eDhPTUibi04O1srb6iWNGSfEV2Fu6k4dNh9liNyj5ja42CDSKWv1qxA5ylcgPIgqQ
NkroiYq2MwL4IapxBCNHs4OUXhAZKBtie2ej/WK1sEjoxUg8ujwlX0aa3rbLokpAxboQFYkhvD/R
WhxOjdn4jsWGeHtjv74eU0UQ6aRYFOrWeZVuFzXI4K2xwrKqSEBadgOwOSx+88w9pJvVvbMbtNeJ
JWUbTGkqXmDqWCvLO/opkrjA2zo9ScwQHJMRZCvIUE1z7WNWMYiqNzW9Qj4sC5Lexq5qFAfREy7s
ojOCBufXvTPXjAJmJ94vVM57b+SgUic+Nc4YAlCCNkRtx6NkdiM+Vj3h2qrl4W7FqLXh8nOLuu83
VAo1VAsg9GY6i87Wym/gFxEPskGF5k2m+Am9yfvG5bDbbPe6nNIiZMrwjPRn42+z9Vw45Tc95d4V
dVjC1Y23K/paeqCNC42VRtz3G2tdU4j8p6O1LUi1BJzQRxBlBprnAO41QL5gRNhNnscpmbIEr5q0
VK/mwRyixpanKbLl+6QlL8GEl6O2GtFIkHt11YkfohqR8t2Ib8XEOt86lnghRH8AFc/ZUxB2+6Lt
PmdZoYS8NyMoBTfUOpAt6bhsGC2mTAHWbvnzT0vWe7aOSigchWq+ARnijzqemQvQgt0qT9081fsL
MyscNgvhItNm8oFh2XiJS3+RDqp7rXUM8Ee8Oy+8IXEPvcMOrVP+CpoiGLPF3oAvNOBvMN8Yxia9
uMk0UET1EDecCzymYmn5zaRsm99OWh+MayMNt2J4vKgoB0hNu1G52Q/26vxegdfdF6WpX7A7pyOc
GiMggrGKrdWNpq4kZclIo0/bHaXFDTYEoqGKwimARCiO03jX7lPPGCja+Ryn3fV/jPf5f6EIkDzI
QJegeSalVzDZk4PCv6d3+t++i28n2bSbbwnUzsO36UeZ/QvW57/+VlHtl5f4U2zB+DdJmI5FgWlZ
zAYkauEncTXKKMsxHHqOUjbhP+WDdBX5IEoGhBZUbhsox1+8T/4IXpnN7/E48if/kdjCq+AmKwoE
HygGIawBHvDOi7o4n/NEYr/j+YFle+3doyMbpjTnEMOJ96QyaKap/UfjoQZQhy1r/tB3WZhVX+Jl
wFBEAS1s/gdzZ7YbuXZm6Vcp9HXT4LQ5ANUFNCMYkxSDIjTmDSGlUpznzfHp+6Pshk8eV7mqgL5o
wzCQ5ziVyhCH/f9rrW+t1DT/4VKrm0Ys8rGpKxvbabb4xrCV5fvI+ZhGk/KqkLR1/NINP/QYO+DE
TkTF8QrLYNCnM2YjzmGHyvlqYHbuAuux10/hZ1TQfSZoX0y9YgAu060C6ysv8DghO8JNjTWLpgGZ
Y/vSTmxd1pAbVlk0bXMrJWENEmnkBSuUrWolzSbRZLiCIH0aox+Fy71VDB8kbZ5aqT7k9QyZNsSB
Joyp8iHLr8zip8zOFhxRryN44WlQe4xw8DIw8w2oLlu/aElyC7N5bxjNRp30nQIhPVWpZUOcxFfC
m7iqzlhgYXTSZM1mzbcS9ZJxEBwryN0KNAbRmcWqqM03NVG2/Jh8XLx+6dKowv7HbMEbmdOqkRhz
rWaN0/xoxPIiEau1wPiZ2tZlLPleGeEEWoX+PMbTU6kgAOSuH5qILAnNaIillDdaPV+VrcwlJPHi
1W5LwMKJT3U7sHP+Tw525DJ+n+m+7zuVfT4LOLZw1p8dXmmvtmNcQj0Y5/ypkXhMTbO9UBS+i4Yl
Ya/W68y2DjIttll1Fvm4JZxwJ3NqgibVoCShhWAFo35vxdkuVVRA88OmIW/hdYFxMfpyM47ihgKI
UTdp17URA+S+Uztz21TFnTbB+nP8gvRSFc8PgkoNHFF+o7knyY+wmuIvsxFXkb4pfMwB1j5sfJsw
STehBnWUyFA9wLdIWjRme62P5Zqm7h3Lh0sjmk1vmJeJTbxlhsdxYvYZ820eycek4hWtWdsZDpH2
wxIw+ObuAFb8RAcEZs8yrD3bHiNw+ckmpXiIRrd7pzjadbbFL+aJ3PnI5QT2Flf3QCFhpwCTS7v5
fsY65DjB+1SJTYnNOecLeoDiMDVo04HHxYuuh6ekeNSb5tjAPGq14bEYf8yJGO8qfSqZ4zQbarcB
tinKXhXejVGlba2ES2SwzI1mubvaaD5VnCten0/ncOoCuktKsXal0d3VAwQga/7xh6fr5a8j/h/R
gH+Wvb+vEuLUhuo4OtrP9yD3h+PVXKpO2gxF4Ftl+itUuhe8u9ug0X7UTQRfqDlodnOFNX6au/7M
u3efkOuNYzC6aVtvZG3f032VQAyu9hjNztgEeXbJKzwlqLsyvSTU0VWi+E+ubkxlf7q6WTOCO8WX
IPgrLEfS34+F7QLA7jUMZTX7Qi/RDehOfMOiXI3dnHkNbLEgixxyq/26Cq2dkvOQqrXuXbc3Ixvj
OqKq3FZm4SHtzMsZh2s21GH6xju7Y5TQrQxfJxa1oN8a2XiJk+5WKdrTbFD31OifoRhvOXt07F5y
XUYN5PCYInDo3KU/0g2KzqB/qV0EnE1K5d5AGeRirCBRVMM16vvL4HR3lRWE7ACKY0SP6QY8zo/a
njXiJP0jh8xzn5mz14kKa28S+cKoHgepfJHGy1ZObH1ZSnaDgPyKA3PbwIQnXfRVZfE2GlG+C76D
sN43+AAJXFOqIJ6HXNsygxGBbj6GSCG5y2Y5H3xwAqE6rNQe7TUVL0Wle0OMIhuMPofsIwHOSyt5
e1Sqzrrc3SlaAW2u616SRj7VeGuswnyd0/opjEeI88W87ju5mhVJ4x796cRBcdTe6I/fqVQmFDL5
GajVjT7hQ6cba4s+tCaBGZ84F0I7+7IaLoOJZpw5t1zTe6/LLYQ916eHCNe0oP9c3fCjv1c1mI7s
wa0xfsF3tesprJF2tRLTUS3vZTD77SQ20oWbYlMnSwxqvi0Q0DQmo9XduTDSkiJ4afgIt2iz8SoJ
kLKLfAu8zI8GXL6NIb/SKFqN0rp0qrmumwSs/kzDV5uwR9azbyRJTRzJli9Jbj+UoYExHshm0QwD
lWj9JRbJzzoDxavoX7GT7wPFfTGpbg6U8hNi5abqINgDpLzHT8Lv6MuLrNOdjraYlNUtH6xrGiZU
+EzDeobfU9OxsVLgZgaKXGOGZmwd1gFwaN5Mr1RN7qh23+VLgpXsBHkrmT8ZUfEatuJ+bIznTDoU
I1ivYq4fR0gxFGl0+zqwv2bduAu6yPKHtrPg7YR302jZXgeHYN2EDn0+5nxPA6HHsflMlqMhkay+
m+2c+UjW19KY3nGvI5Z28lXNjGgpHitRvadLY8qnfnYOvU3/n6HGvpLuU108g5+CV40LV4+SR621
MBV1d+o44uGbKZsosjWG6p0ygIdW1UtOyVoqgudcQjZuSCiY7tXqFFo23mayW9C0V24Qndo+fjBo
C5i42s2k+ppjelf5xMbRvY2T8aLX+C3kvG+0+koHX586Xywxf4wI86E+brTO/ZmYOoB8WitCIa6B
+wsRHKuBbyqnxjlV2kkY56K7Jn18aZR83RmVZxnXftKxrTlPhPmWCOmqJEJbWAiJ1bjWk19pPMEi
dfy0fbXdx0HQujSanpF9uXHECuOtC292mG8t8heO+bAg5cN2uJadzuWiHBP1OtIpSLzmXg0yz54w
jfGOii1zz2aekI+fgtRxExQw66wNP124VrltvMqOrOPEfZ3qr44LKH7ApveghnQr86x8gbqYrrpY
rMP4YyBGlHdfY1KuYBl8jIaRbdy+/VAqaxc39HPE2mc/0MjRuVHupfRwTmwkCZEMa32qPemWzj6J
GPKU3sUYEubPaNGhP+qT+ak01NM4Cpq+YTuboZzvRFM80k5kr+dEe3RT5a2cppcynR8Jh1zmQNos
FpolNG5Q+iJTXBKZQ2+lhTTdD8VP4nhbZ7Z3MHk8K4+blepwnKJm56aYdeg1auWz1llKjd8lQnan
YRcdAm3VSeCzlv2R9/3BHaJfztQ9ukUFBCzRd0kyheuy5WjiBjktsLZK/oJZP+nlI0U1HO1yMp1U
DFXGF5i9VaJtQ2kdTNYsWtkc04HopmYeo1qcpkluHbCxZKdZWDXmFKFZCmVNZVG8lqJBQTRd6Wep
Mnn/M5oDPbM7jmmVoB5AT4hDO91jrOavzbL7z8so5WoIrkakHfhsYsI3U0+QHVZtaduSIo2ug/Pu
8Ifk1u3/1Tz6/+GkqUGS076Puf/xePm/m654/xm9Z/9yad4/f7XRH5lBf/8Cf4MG2X9ZZlaMZYYu
NLqzmVz/Bg3SYM+yj3IFZ2vYGeLvs6P7F84jYDCxdy2nKR0Z72/oWd0C76eC6uPLofnD0fnvgPqY
R38/AeF2c0kywyYywLEKTvm/n4BqhogpZv25b+I4THbd3KZnu6Upam0EPLe9ceyyZJdnBTeHXdFz
BaKu6Oo19Wj6HgdG4kP9bvZzVAjrqKmwGLwemGjnkV6I36jXdWu4cLAafB5I4WEuLZAKotFVH+eI
EZ5KIfKYgWuq3iD4RcW61GLKMtgbhyi2Yd46PiQh+7kdWN5p0qZi3Kl6H3yeTqDKMT+qeUq50xC7
OERTEJOtaa1w5tVMVcCDq0Fh3Y3Uis0rfVxGu3qkvLQhgETGtSfSfzH0ug/geVVABiahhccCROID
ikIVeGndA7TTkqESq1qp25hFda5+RbFazhjzHXZKpqmY1yIKTMgnQR6+1pBCSC84wUQ3lyIvVUI/
Ntm+omMOr4bOMxqzf4+SdtwLRzBn55UVv5EwaHec91kRD6Wq4khjShxy3dprGs8bo2Cd4BGT1C3P
IBb/KC19esWo6EivoPiC3je1jHe6w5kTTbxJ8TdMSS78qrWNo55rwxEitXJn5NQV1LMZzycjzjvt
prMN1TweLnW4Md3KcF96ikL2Ux21INld6pJXcxHqNWVUmkIjRxZSOLuv21aoZ2f5XFIqgQ06FRMS
985jC4hg2XzjIw4AAb3isoXaM/XLhxXtOxnxri6qwefLmHfQkOudkzoMKRq4ipC3TdRrZ2Z3PM6K
LRlnh6SmoGOh/nbqeJWx+pVMNbUkKYGdgY3avlTwIeFW0Dl/a3Tmde206qdgPrEEpv/QiAUhe1Nu
4lSbyKkRhY690BpIe7qdfcPCQ1+VosHQWZizSkbrl5kEN5b4kOSy/kWvDDQ0C78t1wfRMfGp5fm+
6Jv9MIbFVsnUfHER6qslLesbWEWOoW4UB4vL5kprhLK3xj5dwbvjo6trZ5ub+QLdWnq+sLWHiglw
HCDPHDhHpLD2SHclAaSe5ossGmx+qmb0aXIm3zo0yr3EUhSn3kjFrusXXIdbQphzmQ1E34bn1Kls
38i68mo3ZnnCsYsTPBV0++DlXKJLavAUZuMtldTKsIoJ91NH625t282hsqKFpEfnsT0adDiWCXyw
xKBOQ2OUXkrO6DUPNlaQmb5ZDKlHcgfqesBRWpPdscaJXJOYRtNP6BB/zKLqwsuXDIU6M99CMuBs
HslzEGUt+/BJshUnOyTyhBCPzsK0WYVTf0UPpRbMVm5FUf3quviS4uT3RAAIIZOSs1DS2mcpuctC
RyESxr/BRZ0Wr/iGKh5GxqPZc/1PucIIHnxmWrTVusK9sNNVfzVJzJVeVkxLNrVugyXBs1Dw1aTj
l13Iuw6r7qoeFH7yFQ1LCuWZChHU0JuzTmKkFzDDjEyBFIbMNU9le59Eig1+hL5DJOVxNdjMB9kk
5leF73uTJIwOEX7gLcjE4ehEKdljRxluJFlvlgySQyZym/R/1qNDNrbvmKPpQ44uHpo2bn2qHUOO
Yvl8IiHTmespH9m5sC3yUixBHYOObkCoNwH/Tlmt9NAK9ek5TmTpTUYwnFyXLh8rtVPfjYT4Kevm
q6oNY612Tn0YrcDYRBogReRj8Ihpn1+Ei/splK1+GMkgfpRVUWxUVFL+8gMQTlOqITFQFVuOHvAk
lIRGfDHVzsvg6uFnlfaEXv/5WgFu7Z/fTuD2luwAG6jFgkcLxW+yTVk2dZRQBrZ39LaX60AbmOJk
XE7nFprB01BKk2dcSYZ9MOqZuqWmLx6LWpnQ6TPtswtrN7nHz6NpfioFbnndIgLfLD99YuIar6lB
HRj2oPcj1WIlptWhoOV5L7rcGc4jpDigz+k80BFkpNcJ3oVBMZdr9eKOhZRznOcuvUQOq0SzroKl
RdQw5ErqklOvoS8SQGS9pC2Lm75IJ8JjNmQsT6356l5gE4h3g7TdD4M9bTue73dAT8dNRoeaNxv9
uMPj7R44qTGu6KgIRgarBCFbPruJUq2tQYEp0mHZQjTJGuYgrF8adoeNPfLeYkpjMic0t7IGd552
jtUoNDv1GsLnlrikRXYEyMuuUSeR39tmDHC9oa0Ob6fyiyzRdGhb3dxnYVnPjEqqck1Tq/LHUopz
PrXGpTUiGneGyZ/p297EMf2tWjEvMKZEY75zc7FySDOfCWOyD1AqY90bTr2SWY0NWxYt+wKsuZUa
yY1BmXUknGLVwiJKprvele+l1LZdRBZex/11qpKPvkevVTTnvtRQ0gSWmjXex/YaqSmEkpIPjvPG
qugWLCceLmVXqF38jjC01Bfimevs/iCV4qoPXXyKgpwFHpjmS8+WwsYGtOe1kuJ2sLLnxq7KwGtx
Y+1nu0Plmqq296sQ/AKh9eI1mbC0q3r1AdtYsGc0IWPMwJ40rs1zbdfajRXDTxtT/LWMuPPIS3Sn
Voo23HDGphfQQRqc906nmeGh6MGafmaTWb3iPMKN4aS2a24BqolTNVe9zkNZiPHFnUetW7u5Wr1P
YFnfaEgy55sIFL3g+7PrCWB3WL9pRhidnEoaVBAW1seQBPYCk8C3FgqDaTVKWwLVVg+rVJNi6ypq
jH2QUVXPE+tmGIr8aeDz91LdzW96MXaRb2MF3orM6VdZ3QlA4FFz7OgYhmyL7/IH+87wqprSPMIw
5kRQD7znuyFcW+YY+5alOI81mrpnxgbN9fA8bF4nY6jtBrXODvFQK4Ba4DeoXpsp6ZVusGFYYag0
6Elt0pjVabaksEwOHK3Pw66i/n2koDDkiUVGr5m7eoVDNzwBpXX5OPWE175NYBqvcn2dyiR/WZxL
v6iN63YcvSTjvFHiHqzqBFounkJuhK7YVZM78/RzwLr4kHeLZ0tAB0in1DiVZt5fw8R1X7sWjTbO
TZT5Jgivs8Icx0aiKW58G+mjNs/8dOuYVxM1yerBcgZwuLXJSlE4rX0fpVlfrBq3Fj74xdbXG/1t
gslxiGyNnL46pclbJmP7dQqGr77qFBVqdt/vNLXY6FPMq2sQidim6TT+IAXURF4wEsDxWsA471CU
+hu9yeZrMNq09+l5H1TMfbqDEAQqZYcHwfjBjk1d81JS3iwZJ9dYC9z3qq3HR81cTBLYu1LMYjpd
EJzCxc5M1D7zcTvpIRXrKdVTxmz97Cwz2VVKJ3FK4MwafdGljJBaiT1pZY5y+kFFjQJ0HwCdVwSJ
4Xp6EaQ0GSb10ezsYa3Oev+p5g0Jd1W2zgvaMOvPxNUV465M9ZBJQ1cpjOuGKWDdOcb5qlIa9CbJ
y+INp0J+E4OT7ocAyIkZko6D+GBitzCDAgSiy0nMG1gkHHjogRRVp37MQF3X+eSJcdB/sOSb0t1o
DtHHlJTIs3mQ9ccqYTFXU5cGxCK12/nO4Yyt0oSw7LJ4vGzIN9ifYSS1+yC2ukOU6E26xQE5PwMo
0Stfkxqpw3BUnopWREg8hfNRjpq8wY7BzrJckgxPKSW4jRtyE+Zlgs3FoRPGXDW4IO5BM2i0h2su
8w/9ayFrmpBqNwxS4UUKF4qwGivnKRl52NtqRDhrnDPlSyJAAS7JdZdS2FYVp9mNsYtgn+2PNUiV
tzkyjA8MLRM0mESvf00yTPdabQXpijLg8LUY8UhtUtKQkD1N80uP+57CS7A0fi5jkG51bI9+oPRp
7yHg1M8aubphpRRj7hNZYCXIS3Tw3dRhVcFWZcRVGs3yrm0S94wtxr3y+RSnQWqcOq22ecvrQfOd
wCiKNc5PvVqNQDffclnK2ssd2TXUmMbC18Jh3DcUQmyNnCfAOhEI9auEWATiWjWWZ9Os4nMX6+Gu
VozW8QYzNHZNEVP6mdlZDwArSaW+imITB0LRSPcZPAkNuKK0nzR0lw/mGKOErx6bpldDIZ+4FOLm
1EzjhKVDQvuYmuEV4ePWK7J+zPu6jv2OlMkZhqBaXvp0jHb9rIt3IFNLG+qUyRM9VuO+FkPqEzJu
X7vaaL/GUHXytTKUzq1U4YPMZhI+T0PGmyjt7WifN3lEXtN2qMQDg5JuOAiznaT0SGy6Sin2EV4G
zGlG9NT0ln6YCvqMDinEw2TrdkrPqN04w6lwo+ZsOwTo0TjnqxXno0fmvN3bVu+8AXAdbw3HrXGt
AbraMypZ4UYbjWxP2jtvkGOmfD13XJ0rHcnJPtcaTr+1yuZkNTv9tFUR1d7piW32sO/Kk6qloze4
9gTQojERBpiWOIFF2GBCz62V8aI0Q+7FmRh+2kYoP8MqY2nVJU7egLih5BlSPy81xlnW9Izw9or0
eL3uC0VnASEGm2NRMj2HQ8LKmo+YLkTXrRJm6SqCKrl0aPYeHbtUFIb9bKwV26lpI+7kIwVOicYG
bcRDxUK5CLch3DiPsEF9dChg3mIXXUhl3fhalUaQnnMlt7iGm+W5WcX0WK55nhsAAjFHXip8mL3f
MwnH27E2J84Xdrl04nEqInKhlz454YGLOUOVrmoZ/pyb2bhrHSdVfYAGM+p7HqaL8uNApUmyWgV3
HkzTYch6JdyDV20iH0rR9KNyObapXZI/jbVb/xLp4OxVxS1ehEijZ7foOzpndXXYDqqi7UsN646F
Tr6fishBMym6r1QbJiZiAnrI/3mRjau6dfr1pAUtoTa0dF5J9Ro3G3OcyjCW6zZjfsgyhSiSLX6a
pLIXgkwlHmcXjaTQGSJD1zrYOOg3U4ZlEfjkfOvHST1lbGfWupKW7D3bcVrF7ICvreUGP8sZHSgW
TX3L1HHind223aYrpcK8KI34OrOUwpIdZS+mq/SnLDXHx7KyC5JHM8ANPmv1HNtkudixBsc2U8Wh
54Z/nCRH/0bJpl1oj7CM47H4Kh27OAu9EY9c9pyEE/Og4Z/aj1ogX0PZm3e5pc13aGNkFYXRUdOG
2JBLo9jqae21trhxJm8eCAjXdyD9SJp0RrlLrdh6U/nJfQQGPH1mILHpY7NZB7OW3lddgbBlTyvW
VJSFwqoMsUKwZ6C2NvxyzOgpIF62M0Xl501GO53tDquSOdOfDNHcQ717c3tImHXaDls3chsfcyJ8
OItkCwatF5cHFkamatiLNv6p2XjQ2FaA9W7oniVdzXlA7w56ROuMFcrsLnASfY3fNF6F2pj9IHda
HGeK7jyX1nu+yazdEZWQO9zC9lqRTrLh79Nu7NhEKIfsXPLy/Odj3D/471FXiUNjj8HtAlDdWqa8
P6jDCo9fOtRKe6/3sc6xczmlOUYZnqqhMIeV4BKaVnjeNa9CCUFR7+w9CPPgP2Wr/IOlGrmXBkKQ
A9aSJzL+rPc2XQC6SLPHPb6VbdK38gMT1gCFtjfd9uw4hWZdqEC28azN+YAgUzL/wTaUGIF77u/I
7J+HURfsySa9CTd54rI/MyKR1++WIHu6NltFvNTwni7Yt/nkLSN7dWoFlM33Qi4feu3DLsaiWOlM
jS+sP5TNKKVx0/tB+dlEAQfvjrJnWzU6G6pmGL/K2FiwK715dNWYpQBovxcK5LlQ4mh8qEskzzWb
WNefZjW9A3LXrI2pNDhIGOF5APC0kgRjrradT3ekWI1jl4W8Dmlo2Rhj9qobpfog9fBgDxS66svS
0l7Wl9X3JhMGAU9IhWRx5LNyFdfqe+0Zfq9AbfwfX9X3YlQ3a/vTdiznMoq0uc7hrL0QWatrrwZ5
yvprObCPUnSQrEMn3sVY9Z7QoLlOaQfmdK99n/Td71P/+D0BxH06/RRFw7MTr+U5+Z4TNFkau4AQ
uieh8uiElpZxgm2S9Y5ZPvNE6jp7JdCfsOJ1+2qkvV0J2ISmM84aJXHLxRnPzILrnfHFWSaZfJlp
wLnxy2XOCaJRRr4z835OSpr/Em1gIlpmI2eZkqh+iddNlYutXjfsKJeN6IqnifKBlYAha1zmrWSZ
vNxlBtOXaWxSWG/X8BAnuqSRtr3KjfT5Zok2fRN6Vr0Lm0TluoB8O74AoOBDEmUmTnJmvtwOpsUu
nEV69doElVV8KpHVxX4kuvALT0dZX/75/ar/AwCAdQtsfEA0OvoEDVV/MpR1BYXI0BG7fcxZ61gp
YwgmNa7XbWOk+yJXnT3abT6sgq4M/LGhhitDe47GEjqSYg2wlmRYs02blXDNBqCovCJPhytTD6XE
JnvSV8zRVe+FsVHfzAGgYKXTvhxO8QD/aTwTaTsPULmA1g1af685uZQICmPwk4ShsaHCwNpbUZ0+
wPSmlXq0koNhabfKiAjNBRdg6GDAghB/jRFsNDW8cY8bJ3hURwYzQGCKqfY88VShoOvOHa/s2rF2
UVxj9ZEWB1TeHequr+zsYi1OL+gApMZKU4SPhJyKbQjg1Q/HTgm90igHdm/Ql088XOqL07SgPznJ
yLVgt0yjD2UEvS/GLD3MtZpTh6PBDmQAr4pPu1uq91Kn4yAp5EVHLH2ewyFA5Ez6JcWSrV04SDlU
MDt4i1AV3kYx5cVqyMtmE8g02sYA4ZBtA9NGs0jkJrGncFc4glvOtAaLv19DfH7Kk/4zD1yX11en
Blsm4SJej607LZFC4mye3fXuzlKb4CHo3egjhzC7ldgZ/CAolOvIZoRNAU6PkQbSQ5bgwdfVWDux
Wpy5Kjl0Zok73hHHVH64UMd9vpzEiewU1zROHJ09b1U/qVPAHQDQyOsHyc4MJSfaWBTTg18R/WaC
afLW61r8qESt/lwnxOwgPanRquxrHk3jkDzMeEjWDdGpO8FTamUiXvolWgPcAVCZdqQlT4Xagl6g
qYh8NSAj8xBj3cwYYqzgHhiHurXsSOW+dhPjvsrLm+siu2KS4Wz5/SYiRmQ+WEoTHgcKtHEiNSoe
qgQ4k3Mp0qV1qVpEJO1bT9IkTqFV8K0zqYvk1LDVnXFPL0pU0GaoUm48JaB8C/1D+1atMHT4+reS
1RKq2GB1tp+zb6Wr0BVFeORHF1ggT+9izdOtegvZ7sU7w7S08AQCS6NolPfYp9kNI6X2o+6gnS9q
W7JYp72qGflfJgPDOsJHb/ZNBmN9GIS2r/Vacq6uTYbrzp1ZNUFBTpNd4lgtTmsWGGLd0D19Z3QG
54n6e6c7LuvdVGivNEITIpXhI0jq17hZbhAdz8tox4c6mMmK9669qbSyW75rgKIopXdjhETUKqXY
VenUvv/zBxUC6W95M0yJHCx4SJl0rxCRWrTNP5wrVDbzKStRe++GYArdc50291X/8P2H/Lfc1P+1
ipzHMue///qbqP1vv/+y/euvw1/l0vf22y/8QhJneuh+NdP1V9tl8t/+9a9RseX/+V/9l//y6/ur
PE7Vr//1P94/87hYx3C245/yzxI1IVsyEP+xxn2M57J5z//93/Y3Zdv4iwlLC64UKSObH87fu3CW
HC+3HhQcncjC33Vtk99BwIT/EMfQbMGL5f/q2tpfyEda2LwJhfB7Leu/o2v/wxtM0NtBBhFOAJK2
YDL9/dIYtXaGY5z3u6KnzBmqQ7UdRJ1vm0Q7GYQ79nHQc79oDMZh90sPrOAYCjZVf/jI/h1fJIWQ
f7pEl+8DDR+QE2Zwk9XZ79+H4YZKqZVBv+OOyHbS1jamkVLEs7I6gj53KKC1dQmAQncx27+JBbGn
h8Ex4Qzi1Y3x2NXA2/XdzHshPhlqcWckgHhiR2JMBJc9WPZdpVVMHCQWTSEfpm6CidDWngBJi9bz
NLQIIBS4jEFBSzXO3XQ8DynwRINtFHFUvN0vZh6elaTKvUSkj11sNH5rhO+mnZZrle33WvBcrCCP
Nyz/+YPWnUPsmsfUa9tWj8ZEdDKYaEwwLoPLK9s0U4xb0PNRQl4jC7EwLGd1g4DolaNF41WubUQU
rib9WCrlxqoNugNelHRmv5rc6KM50E+w0w37UKAXE4RHEqxvuITfaESxvWlMT6R9O88Me7q/zdLZ
GSJ+gWqCtWo+WKP4VUbxzlF/YLp9YnONpmUfsfterUDb6vgq2XqsB12vPd3m2wDjuZq61F+Q92XW
f8a1YWGDMDSS89aX7s7BvhU6u5nZyHkiYn0Y7fmOM8JRcYB7wPbMvEHTOd9btzwL9416bQt7Rbrd
Asg13OoxvJCCYm/IturRcFPguJMPKlZaw6FOjKcc3CLWG5Od2K0uxq8+d/Zjq77NeC6nihdVNFSv
4RBvJhHf6bUhyG6zQghKbIruE5eXl+Lut5gRSGBT8yp7f1L7U6gEr0E13/UYy5ql8GK0uyfNwGik
fZZ5fmrV/q7rR9bqHZalEZ0WNYB8q16s0oBzxyiZHeVKN4nMqowJNpdmHVlPSGSqR1XQZ8n+m+Km
HL9TkiNVg/dJ5E9VYtAL1ICWmenA8tNnrc2EF2Fs1B7N/MVumvmcwNJ46ef8rk3Nh2Ds+60zLXsj
Kxz2pm6tAcPcUcWwtupiR5vpq9UFv1KlPE7zuRJPrZlD9akVygcr9YE3KYfOYd6TTHgxtWJAHC/X
fRLhAbPv+5Gqcot5HcOdOT00TnWEbbRqm4j3rDmV98x9u67TwnVnsawdA6rkExynTLLsXUcBrUik
Oye69KF2X5QcBtx9WxjFiqIjj8fBJV5aReiSeqko6plT6yOYYz8ZCDykitYca1druHPSjGiY4U/E
LVqHzpDM2dTpBcl/NVTaQ57n2L/MTabOzywId72OA1hGgwdq6EUhwWEq2ZZLw16rOKP3RtmZqHgq
KYreOpWddoh0m4Pv/IRZWKzrzn5j80txMstTi07iaeKQkY9nW2+3YHFXxezYd30x+KSXf1q9edEC
dmlmqJ9dtRu8GnkvdsM9JJ0fRVrv4058lin9lkQr4VWAW9fLfJNmxU4U6nCP9kyk0QYfA9D7ymK8
Xc2Beg4hq/qFdmno1lVblU8eUS5Ulb1TxUfeW8MaCZogZ9NvzAkBU7HERXD6pDISd0JRPWIz2vb4
asiuRBob7eqjFO7anKznnN2txT/AE5luMsK862ksybA1T/bcnINCvnVTXqGVdxGObOd5HqabPSBH
jS40eXlXhoHX583j/2HvPJYjR9Ks+y6zRxmUO4DFzCJ0MBQjqLmBkZlJOLSWT/8fZHX/U1Xd1WI3
i96VWWWSzCDg/ol7z2Wedpms8q1JxLvZmEyl/KM+tm/lGL/Eo5Num4J/BxTEUcvXVcea0wnN22hr
N8/l40mx7jFwumPwHi5b+PyL0s6xszhVtHPcft+zKjdNaztVxZcVp9usjT7cAEIO+wwmrco8lSyd
F1lZDEujdH9gQXoeBJY0xjNrtqqb0prpwDb5JQhZ4kVtZDt38j7MFrRxWXs8f42+TSSyBTPSnkw6
/jm6ZM0bdiYU+KX0MmBRABfstM2Welp/RLHDi4ECRTX9G07be6j0j1rvHvWuOU+m3i1q2odtXcUn
Mw/2U2D/wNzHuroi7IBJ2nHiY9V8/0RduEFkFCIUYZY/zl5VTbPdpaoApVWDv7YYRPDq7Rv0F2uW
MvdVgeBqVAGpm5F2snWRIcIOv6PH2KL+vZFbQhyGFlzrpN2WDs9D5fJJxutKOqfWs/b5ZN/1Ncqh
6k6qZhmD2Sb7ms0MwGgp3lorfvLTeh021Zbx0QK/5rLMOYT03N80yt8WlVwV+buqs3PqOS9dZeyH
xFs1iX3o62bXdwWj0mxl4NZm8yj3ejgg/4qaRew8lH6/Kht7N2KyyZuXkWl93yc7shVIkjFeKeUu
Zt/hK8eX43jbsPEJIqj93aSp2d5cPUq/+ahieghlkzgqqxeX/GuRMF0laifzzF2ftEfDOQ7MrlEI
heiWq6s2Wadx4OQqBoksl1deE869GNSPYjwEnbPOHf2ihq+0w5Yi4EpEuKp16ws/Iyu5Nlq1iXGg
fgO0HX6FZvZdBfbFks3ZktUujINHJHRrnAXobyvv1Y1wJrVfDb7GcuTopMesRXUW5cBLmL/yijyX
o7hzkvfOhaPeZe8BNJo6jo6t3l4cfJUWaM6t6asTpIUXgk1QseSMlIZzS9DKWKSXUqTvaTDnlWv2
p+eU5641d/kwnugyU3JqrWXkGbvUqnGotx/t1L4SOLFOUG2ghWaSnn2m1nhQGqh5f5ENJhb+XCwk
QS81jNo0MeplxPInfDDTO4tDQUHh4VhuQWc0KVwRZP34e3rrNEXuvjeTi+6FPzq3QzMVhOwIuD9z
pugDIpekJHdHP5HDwObRK4+BHV8r7Gr9JG9tygwIhVqYNm/qlBF2Xj9FgOisEhl+HaFTqHfYU4m6
7cJnJ3SYOk3mOlP8s6J7OB5Z62yTod+xlPwOBvKgQpaQJR9gZR7tFJGzHJK9x4IpqJODPQDsceRz
NVSfXtn668a2U+JV1LMoNaRUcTMth3lJgDPw2jOnX0pVAxHXdQqbnDVF3lnLnrTdmNxXlmAAJ21x
Xyj5xkLlm+m3L2TqbUHvpgvHrp6ruNjlffQcOdVaEGYqzW4bDBQz02PH0rzl4CWCaWmJ9FYWgFD9
ejsaYu102tIMTl0vCKNSw5HJJ4F/+dLrvxKVog6/NiW8fThMKI8vERvZcFzJxFkOt2FSm7yGLJ1d
StbhKw1iG2tDxf2Bxl9vby1X0WqkU416/FhPgWO+BL1+C1ud88DdhnSj4Zw1iyYutO8n4DlF1R4H
Pb12xn1q8QARgzGF75quFkNpxIu8RRwQffZ9s5O9eQyLKsBrMdwNXg2KvJRfXvaseDfHPLgDlUBo
Q77zPRoJVAdhcwyNMVgk7qOEEunazUcI/x5HVLsSvs64gfqh1ZyXuGGhOJbP5RSsp1Lbt+YB9Clx
FxxZNiXp4Mu7EqG1kT52Yh3kI2Pwto5L0oQcSTRTmj4FCOGWxOKGdx6MrdbhRoaCMt05UHxPhSvJ
pRDKg6Yz5Xs24BU1ZOU1rywc8+eymTqobaKF0d2MX1nD5MKLMElXsdUhwc/jNXRKfStERO8wSR8h
R8uAxRXDGkGu/k1mibq6VioPehkI1PCxTHeeWcTPOfbTNQnC3o3xMp+k1qj3lGp4l0CbYvCJi3rd
QPW/g/VqtkukOWrN4o0XNgn3xjycQp2o/+Bbut9AHkyfLNz0XSpQu5MFYzzksrI2hhM0F1cBa9Wz
KD3omlM90O9RH1OYDYuuyuprmcbWo8tPvNS8krslUv1eN+rikHc2G2yN5ZdTBdxxkzas/NFw9wE6
E5Zb4B2ZfxXlKcujYM1dw+KZtfpeI8viZGaOfwfPo77zUAsRPqTReg2Vx+fOlOnUACpbZuZ4yl2T
dKxg1KMHACTOs17pTMzzjL0RY6YNbtzgYg9T/kZkoXdmdlQ+0ejw/rh1kH66kWxftcQSPdJNFV3s
rhGPGODUDYvdeK17rzgbPcP2zo6GS5V76jDazx1qVlZ41dabmuHms/R70mwbGX8WjuabQFu4GcqC
o4yp1bXCx0QmzkQyNhfmuxKhs0vz1gWOgjsmqqbsvk365l4QSXVJWiPapyEuS2TpMwMmVAuFG2aD
apaVKXU99pQCPUI3oSjwTWOZ21HKtiootuncYKNtC8kACxDixkkPgoCVyIvFeg3PTJS+RyIxz8XQ
WohJHOOAHhOtEsJi0CzhfT68D6pdRiFKqq5JxgtLZ27SIh27h5onczTCVT2m2zw3slVbTt/Y6TJ4
xWIER9HvHn1NPrnZdJFl/DabTG2BWxlmoj21Ccc+4nI5HMowWrObxbHqiCVihWBlY5YQKPLY4b72
WrnvxoicPsP+LhMuMzP6sGH2oR1aQqnaNDBNSZHpuRhsMTC/dz15dgNb32Z+9TKY+aOZ2ftQd8+J
3a5sY1qqyOInbrddDOWjejaMBm+GVr8CKVKLMQipKFPc0Xb35GvGpRjRmDFxXIQqJspc2xOlDu8m
6PaFUdoroZnJLs1mTtdkXkYXvYhpJ8s8ytZeqRhq9zUsOoryOgwXrWlvuqrZZLVmrrBAty+I6BZN
Xh88ReY3cLUgyb6KrH76x8MO6ycm5H/5TyDLBBsdzJQSpjNkD+8PQxf2ZFRMQvY7mbzQ5oeHaWiH
y9CzAQaaM97pMivPQx5MV84ndetDKR5xY0eXyi9lv6hl1r26SFE/nZ+vSjy/NeP8/oj5TVLzOxXP
bxdbhPJg/Hzj5ncvn4L4obcyBig5r2Y7v6Pu/LYCRJ3ukvkN9n++zENg1SSOxtpd4POuj/Nb787v
P/lWwTpNp/KUerW37dseCRQJwdiR/HhcZUZFyhqDSIy+nC3GfMqQvdfvA5+TR29YVJZ2bz06YuRc
Mmrq80Cp5kGP8vpBz+v0ANESkfVUNZdgohvz5pPO9EGPwBjW+bg4B8V8ImpBbvww51OyGptwrwoW
6kWp1iy1OEzb+VzVEJas05+HLeGp/W6MXWzwBXVGoY/ezY5ib60sM35mg0PDwNyXAYrq5aEce3W1
vdz45nsankwwuFYRccn/vATyNja2/Xwz1PMd4c+3RT7fGyTWj1/6fJdU863CPCd/NuabBmQglw6/
zXwfkIO3ZoWSfnPn26me7ymANmo/DPkxn+8wNd9miOefQh+hzsKd6uk7Q8IDkgevQm9l1M99leqv
uKkaCJthYr6MwmGolbbm+NYT4MhbY7GsLgIGUDHP5rqVXU6QFgWcCRd3gXD67NRJdoYTGcIENNW5
YECNAKrcFDRtO6kpD0V85fgfdiqI6AS0MtHcIDPd4Gdw0KI0P7+jVdHnOylqPe5pzcl4mDLsm3We
J/d5FskPtzTNQxpxSGxl79KvsnOmUgABlfULUjXiT0svrp2VwJDB7SrKjUJuXVR0C8uWdQ0DrxQc
cYQCbaGLYlgjKLopus1dr9lvFYY1POEdncREXTnx+I44E7hshrWn+Y9RVD4mjUrXWh9VK7QeKSq7
DF85DfsPmpgXzdXFyWo9b10X9hPqViogzbTWOkIZTlgEIsi9kpvbS+3ohkO85qInm1WPw0dHb9RC
NnV0p6R8DI3oESmjOkSlF+8yhzK7TfW7wDJIce3UwO5m6Ch6GvLCSPd6D/H/7Fwj/BpHLUYqCooB
nGG7No3xWFF/LPqUP97zYCDf6l5Fa+R3GfCvTSYHGxZEbm7LMalWRueli3qyt67KiV/Iem2BtUBs
GKYyVtGrD3ZYV+pCc6HLgd2H0T8V+fAMhzN76LWCdsxN1NZu284lmygGnoxrFGsrzFicqKyKNAML
cySLjYtKFGVdV286k3ctd5lr+ujJF1owOotgqN/7rHP2oxGz8Ziyd2EkVBACa0PiwB1LPQtXAGsI
His8/GWaDsvKmMXxBfYCfChAy0nZXDaRQBoSeCmlRaHTzt8Loj2IdKZiGhUtv8Kh/5z7Db/hka6V
jCW5rL3ukb8n9oElEq5dMOlPtSuzA/prf28Wnj7vVMJT7jvfDZC4j7GpTTwFHChaip64S74iSz6C
mgG0Z4S4SbQAGXUOwieXfHaJp74DMhaLhJTKRVzW6YqqAHvKGH6Oo/naJ2/I/09g0XkiiNUbM+d+
MnJzNcbZl6yn22jkmHwRzoLtbwgY01wH5zsC0HNdmd0K17ZFJ0Lj0WUulxWkJDSQpv5ERkdN92p8
G3LdWosyenLIM2H/7601jOV0xgWiCwAOx8CxDqPTo261eL+GikuCwPpwxUD6TJS8CUTCyctd2BCV
p0xNQVsIptfInZvMwBo300CS0GKoIVAvo6ab3jHXp3h/oLQ6baItWeiaF6eJio9IjdY+0KR+UL0X
7ZPGri9+7jT3HelO92ish0+f8+dgmKWzG+aKqptrK/xh7dma663+Z+U112CmRtIEGj9t5f+szjhx
7Sd3LtmquXjDK/vrluHf2lD9/d0TC6RvOZkGIWO3//nXlljbH/n5I/1R/35v9X95jYU38s/XWI9V
WLQVe8VfF2P77//9X6wddbZf/LW/rLHMXyzLRBCEQ3MOHvrNJsv4hd0RyGEYWnK2aLKuynImr//9
X6b9ixDzugqUp+1Ka5ZI/HWTZf7iYfe0XWEBw2DZ9W/RfVji/mGFRDkl0Qggn5LIHiHg/H6FVGSx
po220UJSACHT0sUz7nZ3aYcomOjVV5RiwaJDQbdETjJup7z5MZjmC0Ti19RJ9JtfYm0RZf+9QT5O
sGY6D0Jku9I0QyM8BKZCXOj1YQ7ymg/AbDWBvwLrFV1loWGsMTu1o5bkKA2KM5mRcGLDUVEai9ec
4oT9/XjLaenSIrmnXyB7LUB5mxE7TZKh9h0xLl46OD8i18p3tG0MnNgn7TiJsTQKy+e7Bt17yHoM
JNwRVFiHfLgnNRK3/j1bDG8VmmRc6CWNt2FF2bEAmHxoInu6K3CWH1XmO8OicOy0R+M5Pvses60w
/ujBsccMFhNA3CM5JwCg1vQ+/qoB8LZULWPCyLTbG7nQ27iK7WMhjWFvxqLdTP4IKYbQcIA/BgJg
1BHjwP5GGO2X0Xrnegzk2qgs54rmTV96hVqrso63Yw1bHoE3KJgoJ7N7qP1PixHqTlJ23KFpKFaV
hA2fo5bdx5VR3OlJID8bOb5Xg6eWQAdKUIVdPev0+K/MKj5b6WknX3b6HpmCXISoPFZTIuzTFFft
RqT5D3hI/ZYm2LlUegQUOwCQ2UYGAkg9dxmVOtjKFLCZ3isrpg6DeXOpvoqCjNscdDZKmzZ+tfLx
1XYLRZrgiHZxvq3TWj/a8/1d5LYC2MadHnOphJkb75zce/fme192/HFw8aPa9AZajI4CIZ8rBf4U
UaA4hg+hkzyykHh05rrCnSuMNBjCx9onHzp2CDKooQAAkKcmQRXiUiZSp0yxZ63hh9TLhiLGsWC0
OMyiT21UvvC8ej+GuebR5+pnMvNqlc4VUVfUtIM+cU4DJJqB7EGKp2iuorq5nmJxM4df2m9JNui7
qKlvxlx9xXMdJiOrBl6QN896ALFISBf1n/eTJZBZtJt0PLSnChtu3TFWgrGhe9thqOdlLRbiagvQ
w95nPvsgKrWquLflgBlAaNpKVXFy8QjsRkHEgisNjWKDzae6YLbr7vzADgGHQntOlOI48+rt1BSn
OeZMMV+uELowqLjVke1uqWpxfIr62Qjq4QGDFSMq1u07gFg4bmz5xHVrbuOwS5+TKA6X/Kq6dS/G
jjl21KA+bjX/jZl7t/ZjszyGTY0je+wlWlwcq9zWojJXrV/9yIsqWwWUvUwj6b9kag9XBoHeqhhI
9kNfYi2bWt5JBAAXNEPAGnyBqN/rw2tvJJTqBZomPZoAympy+taMHpc0FlHZOzmr2QgQWDEZVz8G
iNXS0cxVUL4hvhvRc+0zs5aBWsVNjyZPFoz6TSUyFDwJQqVR0+XK62EMjbUnn9qgdXalO/ovhFaB
2NMBbIoOPXxoI6iPcEUdSkeET6QjM8fNZ7m3EpN5SyZDO+PlmijikugFdc6LDn5nk8sRw0yAGage
7oumM39gx+huYS/7lRbWMBFBtoL/H/LpzgVd5nhspuiO+h+dVacXp7B6DHv0wPROjB98nOOak8Qb
YwpeXDspzlrlHsiPwtSFkyVgF0kQpL5MMSThDi0PQ+ebvLmhFa3SIaZ/6JRzsJM0uu8nvzj6RhNd
UC8xgdHbYyvDDk9xU77gdGsX7OVY/ZQjY7eRhNY2JE0rrUc+zgjkW+fxYyT9ON18NV0HkaUrE8Hr
Kh/7cI+a/so9xKQSh8xG6CL4pAuadkaiPQZDqWPxgx2Xm1lzyWNXAE+fwpWVQfnKzPA44G69lYGd
X0WESjwNWc9XBh0fsoi5MwOUSdY5FbUmPGMPVLldIQAXKx+WzRaLV0UuIy4ALS2dhZ8SN9o5Fqdw
KH4Q7ZqtPEnjBEfhmlbyW2i6hCVFbE5Y3bLV1gtwlh19rNXW07prfY4XHxZ8nvnPRAdxK84/AxBh
/G8hSeZ545kvbsfbnAhTrknI8k4EqOKnNjth14sYNtynFrR4kyO4xo8mMDtRR6e0bzl9iWnvFa4V
0710ELAX2LstDZyR6nEVqnbDdgTzsRbdnMGYV80yei7I9lqXJhoMb1LPUO+2QuuTleROyJAiem9s
eUmI8orv+cADJevksSvRtEYDtJ4s0c9TNzGXQDvKbQe5r6lMxpuat6zm37Qbj/7G6qjn3ZSjp8FJ
yCb4k7r4vXNMnw91spjAInVYO/AvZylMeDf4wT1pEdXJ1UGVBGT0gDuzliMjiGWOfw7RJuIDuoGM
IFfH2tVdXD0GWDdWU02KlsSDDSIo/9A1TiFCKVe+CfqrEZ9jxjLLFt/ZOIql38DmCS3x/WcB959y
919RbVkOCqI/L3f/Pvjyb6rfn1/l1+rXgW05S7LQwzs2kEqLQvZXHZdDHWvY4HKpiCH1mjOy/q/V
r07JTKIa5ZkwBGXp/xa/+i86xTRifx0J2E/x1191bH/RSyGB+1ME+h84wQybdYn7yPM40PhB9D8M
FKOoMQfLT/x1jws4igbAimrDfG0VD/b2N5/T35FqGdT/vxUT8m+nuJ6Zvw60daRof/heQarRGrO2
XXPdbjqnu41puatjZ5PBKZ688i3VxbLpXzxroznTJUgnfamsV6T0CzMcDkPCpc7T/09+qj9IHH/9
qSxzljny4/0NftEvwtwjscNfF2pcN6gxEtkTBg9+zsAAMOHxdLR0KSvQzSSyY9lajT4bQp/BvGiW
tllc//EPhKntbz8n17RckiiYankzu/R3osuUWYrm6YG/rqdWbZFt70Ea2zd4EP5lUHh4C6EllyLp
2gp490S0F4vCZhJU23Fnz6CYd63KxJXTIUFn6voH2+b+caAoDi3Ohax/d4ZvCX1Ih+hb5tlJsmyN
eyy6HcIQsTBbXGUEslowFYEhsxIJ2fVPq5L9AZEpJ73UVrjDNoWdraIE0wSW1VaFd1K79WZ+m3zu
PdxKdknakzvOS8ZV33rsAcy7QCKNLvNjLc0dnikUeK/AJPaaKoEYfmrZQTI2AMNk3RWUa6a9i73n
ru1eujYuFtVI6lgxOHu7efb7du8S0Zd0+daCQpnWCYaF4IqKIXSic8LtQ+rB0hXjOmXhJFRDEJWP
jDuZxXoPaZfdWRaIwdpCOBiwQk2bTRm540bDSIdQZGWyJSTxeQ56OXVKbqBED3hqGWVhp+ip2LuN
VeY42F+k692BgoHwhNsTnmHLbtMIuw1eIUjf+a6CGxokNR8P38azV0UJM6wSoHPQPGvWrm1kupj6
buUIkgqZOBrlp3IuZlYeM6yyYegu+1mIoXt3BdCzuHPXegQ/I3yI+3ynVWes6RvMTB8dJbxtf5ZD
/l7X3yA1wAUqQfx4l5qQAW+8Dyvm1Ua3TF0HNu2wDPy6PeueKB6QVLwHTqqd4NTYK4fkHI3J9c2c
YBFAWKPyaXyWy6mdfwus0g8XRcGHlnZFxNI3S37U2OKu5hTkH54VUndZYn5pAOHhfVZ7p7cfHKM1
n2RsdntAQ+1b383xo5YXMBJ3MNSCJgqe0yLOlglwjQVMGopZM4adsfBBRTxwC7Msk7Wzair8glBu
IR7xU8jhQ1RjsstEioBjKLsARmMRHtFXX0RVy2s1dc6tMdNy8/M9/c8l+c8vSR7/2ff155fkzIRO
PuY4jt8Nhf7y9/4yFBK/mNi4yFlhVmSy2EJb/hd5s/VzXDTn1fLsYcP6zbUomfyA9GL5Z3L/WTa4
kr8OhcQvBpcZpR63reBLOv+OvNn0+Eq/va2Y4LuW5fLuErjIlWX+YSg0uTVyLRxl0DctgEjOR+CE
Hi9jlZ6VPfrHMGE7mmnpU17ECHjjVtuWqDg/Bls4p8iF1TmgnogEUYZYC+9xC0B+y9yngLSsVVJ5
TFTaOfVtBIfax3Z37fA1LHrTAktVtABDFRFWkVdVaCNt9EBMLGp5GmtOBFfgTXIihuCdf20JIZOg
WtZ6DBiXLv5pUL67wb0MgjAVRyQ98sMJjYRFKfuK3GQS7XrTKUknbo0e2moCun/RIaqBJNJv+ror
OIXczcQGEiFGm1qrMqU6GAxn1QL3xcPYX0tlM3LxvnNPLvoiPYK6Wo+1eQtTccirIlhCelm2ufkl
jHC405Q/a6did9qaqnoI+WwveZhSBUxascXe8DQgHpFaf2wFH6bXFNYxGvknh1Z8trNmW2rQHtCH
nCzRognT83QbDs03mvXp7D/XnDmLukzITy9bgMIKIqzWPEsxrqBprBPQPmVql0vDzb4am1QbTxJf
gf54cOUiG6PHEumHKugYKwcRY0cCnc66aaVN0U4b26tmig6xUD08teEk9paTrgskgqswznElo04d
nDJg9x+oB2IXbsrqPn1BLxbUdgJ8eXSJuUrti8BQukBtBevEB3Y1ou/aug1cfMD3Yo8Oeny00vxm
xaWNvNtizR2lanzQE39iPl83xZZEi+AyyBPclyeLHn87RTK77ytNWxJPfAp0+6KQmQGReQmSEcNQ
gRmopZKL+uoYVPVem1hV0if3QV8dIIfA3Az5VdVnQM5fcfaAj7CgNfSsnXCKZDkyuYNftLaHbqkD
3YeFbWlLf5ioQczyPHY6VGHMWaOTLVzXJXdjnIXVCAWfTXgSi0IRGDPI+XtH+1LXwP0W+pNJANqS
u1tAzFqY9QYROuoytze2JeigTBgfNliCw2R4X1ieTlY8LWw9RZZT3luNy64jWkGvuFWTMt46uAY6
udTh2m4998GTJK/5PrQOc0SGYBGCcYHKIO4hIsAo8+BVZYSsfCvssj00+CGbZT0KeZ+UVnFn+fV4
iOzK5UYp1dJrs+CgGZgd2U63+yTyk5fICmZPY1uHR2Uqfa+ioNqNqGAeawf3JY9qjXhYH99wqxEQ
Xfb5vZJWt4danLzTRzoACchASfQ4ZuySyYOSuXco4Ehwt/X9pjGMWVkzDSdEH+nj1ITDo1uk7V2k
F+lTSgG0KTtssYuq8KoPmMnOqjRUd4YJIE6esIsj1UF/RRNqnYUBUrvRK+PNiJKW2R74noFa9wBL
LN5XyhOXqcrVD8seuDnrdKy+E0vBiJd1snfCsxeeosLrj8JPmkPiuwYTka7T71130G+91ZWA1U3j
mMa5emL24KHExm3No+IcLa3Xj9QKTY1XiryMNi2crZGYyZn+IEAtiE0nSpSe/ZNi3vo5qv+tQMIl
FZUFA7eAy+qAPuP3tXPMpDG36gmnfxAk58Ku8m4f1V19LmcIRusTVV4YIH9HE9CP0cfTqofYgnkQ
tzgCxifZ1domsUY8XE40rxlrI1+JINQ3LOBrtMJhABWoJZmXQF1xLzM9OjR6enZ8SUhU6U33zLjp
6X03OY0BVmKepCcBHQFkgyd2pAmnS4b/YqFG8VhVKFXatk8vsg3Iy+shiT8WfW9qWw/u17SsnakE
z53xhRcMP5jdSZAqpKkQurSsMdgMWz0NVLTuQBq8wfcpwxUVUL4Wk5E9WQAD30hXvquTZtpopntr
HW2bhU22HLFOFNkIc7FxMDjpCUEcaXbUrAARbmrgXWutWzE0R1VUD37luOQB6Q07EAHDLxxAFvrh
OjbQTFsa5jynj8aloXAbTHZ38Kv86IS8/mEI1xlwHikkIXGtbUUtzjh9UfYy+KY60UMS6u2NBnKD
uHIpzjk2Ps4YI9k4Ko5uxQRNuGiD9NxOvTPTH3mUJobciwnk+LEvBNqrFvQ8WcXeqRW6elJ6YB6D
UJZncOf6LTekfq9iUgGX5Fo2B37XwxEGR3jqdUz/jGR43pk31d+dAB/TgrZe/SDNKlsOlT9sqvlN
Ged3xp3fHnN+j9r5jUpqFzCNP1jnGDrLtSjD8mjrGfezqjtM91yVJAbXJIGlM5zesyHCzG+wN7/L
+vxW+06cPZKFMpxAmgZ7xNs9EyrOAQJuvMM4IScp7Bw1QZnNz0HpPqCET97xOHT7aT5XpvmEseez
RsynTjOfP9N8EoXzmeRphb6PUQocs0ByZA1Nlb7g3mn3UZx6+6Lpg0PSIN/vGul+RIk5HgpfY1uC
1/tepR4HIzHC7YECRH5jCK22QyQbpNKhvOdPa5e2DOTSQFa5DkNCCTH4jLMG3q9cfEmTR4USM3Go
N64XgxQxhRP1+IFJ8V2hxpfp0gisaiSgT6XdOXMid6mLUpB1w7R3WpkeekE0vh4Mv4yBWPHCtrGi
LxNx0QDot+JmlwdVFxxBewdMTWtgEUCw3a5Fa5yNPa9diCFHDzRcJq5SMIO9cSiRIE1i4r7GU6sD
XJsHa0UW5Vu3bKyLpXXmyQ0GcR00bGSJZ9XrKrKNWz1VIob66af6tpQqSdZaZeDP9VlB4SUoWEF1
sqQ39HCWLypnUtq6TRMqIMbCSOQcjs3XKUlCa0lzbnC2jFHk8YgZpXGEXW7eYkyj6H3Lq+OPgFWj
COF4PRbLxsx2tXB1TMfNU9MdJW4KBqr6yXG94mSHDANM4rWAc4DyjiuMLNjJMDP7uOoLLxhWKZT2
BWZAFndd9E5aUb8Zo/6bkVnl0q0siJujee/rZX/OG95RoEGfofOJ48S7G03WV9IZTcYEXANWXtqL
yNG3jsoRORm3CKHqakhczC3EwarUkcsgBSXQlrZzaOQgd1jWCYIOQf672g2uFXdeaFhHjft/rU/F
t6TOtfl3hAR4LKxFpfp7rvOnySjCLwE1al+36KH6BBQ1gAvmE9AInw1XH1eRUY5frP15BtsA1DN2
o0aPyOELneA/u/9fm7J/rc/Dbvnnfd7pRwCj+WP8+DuNHn/x/2//HUGvJoEw09HZs6jx10bP9X5h
ykWcJUXUz3Af/s9f55/yFwaTkJM9iBYQJrzfDEDFL7qJt5VGkCvemKPw/jDw/EcDUNP6w1jS5aqY
h3+6J12bL2b/YdzGOqMBE+zIXeVVdrAzyxg7PzG1Q8XyP1TfhzhJ7nieh2LPxK59sI3RDdayN6Jp
AynSeiojusSskZLDRMbQsNJQI2xP9M1QblNNWU9e7Vgnv+916EcaGAJLAJ1fOmQj4woje8bbIX1z
Cb8e3bI46loOPoUE7qUQgQoAeOEIr4VDoUukKGz31tAe4S6XB7d12leyisn+Ie9hbehJvCwz96YT
54xeTAdxnncLMKUlxP+6q0g4KAuIGuzRSo6/IDjqUe011CbGdBSqLpJVb1OTYJ4mQnFK0p3TVvhK
zNDc+cIdVoGYLFw6I/tCG3Vjpo1EWKTJKK+9srxHN/fcbW/EPfL5xFtGY9otLATXoHTSglbSg8mi
JGsgxqbPXe72LSLroXAwW+U3gzuLSVcRjuk6Z/StH01OIPavWd9dyy4BGhZk7HePZdhgVfDdrrM4
EhLE/l6GB3RVG/6MLNRYmuEtQI1ERM2I6z7pQFpeJwP86qUK0HddDVvn0CEg1692caRVPt2fa0z7
Vm8AXfhd782RNr7RrdsW6MzG6lTy2iVmKa5uWmFkMybaHdbJ5JLRPpnxuLCmums3vqy7rdPo6rue
F4GzTIvU22ZVazwLv8eSFOhBMGdaf3n4Uv4fd+e22zYOhOFXMfZi7yxIsmRJKLZA06RJnaRNN1ls
sTeGGhu2bMmydYitPv1+1CGRfGoaBltheRfbGZGjITkc/vNP2l2vbvSFrV+FUbbElVK7F11isF9h
SNqAxxveUFKxf8LOkkBRtwk4CkXr0yBbeV/wvPBIVT84CalNTbKaCVFVbCziUS94sC5CkFreuUdW
hnbqhxQQglXUvmMPhl0zA2afnQZeYt/6Wje7WlMC9T0skiRixol/m8zxfYnLwWbE5fQ5tRzDgWpx
k9mNncmZ6tkD3DhBhKN9vxtC8vbhYRWaAzg8uPWddc9hsSOjjyoP8zCObzNjBnMLUbvP3Yk2/LCe
rycBRAocNww/ysgUCacW1V5gLpmch1zZXRHXseHdJQaScRV9Fa0M8klgmfLusNb0EjQbxHSqzoUq
BUK92cdsAqH/SThMTwlAAJVbTtKPk4f1/LNjk32e8G6H5EYPSVyCKw50S7bebNST7901hCSRYKYK
LApBecGXVRaek5fjn60cUkTh8vBGpt6lDpJtLW+DdBKz7aUz9D7LKAUEB6jlAEYA+ZxeL5NsHKYp
yd3LTA+ABw6Ti3l3RpmYyOrOv8JQ0r9dhwAc8ZDn1j/LDPrCMzWgKoTgJCM+sEnB33DH2u/q6Zn5
sEo/qKtoRS6OtSbVz4TJRCOj3d+AnjfIE7zwne5AhWuDFSbYXPdNNf06VGOua+OJfzNxeqtBvJwt
BmSZOST5rADjrh+Gyfv/V/izjOPupXZ43B/Etzeht0juwrNtcohn/ajaePYLejZXBMFKY/vWMe9X
TlZxTIzvwmmRjuCi6FENT3dEXgB3g6IRsOSgMim/tvqKRUxTgyeBTZVGvJONvaamQ4o4PsZdJo1d
OY0B3IfpIhEMHGRgLBp+gzisN3yNAyrYkvCkAh2coanja4AKzBsh5boKHKUHwoKAMpzXouEJ/BIV
HKMNEabAheBz9LAlpqYHWwHPCKCxv98ULAXGDsOy8aHyVsTy/3tT2BpA4ZbmANK+xtU2hewlFaFZ
CuhQ4SXi1DUtgdsyCNu4SsgbX7fLEgQn2PYVy4HpsKXFJzPQRI0T8LHgCAp731kRAOSKksSFDoSL
3S4lWJCD6z0msdxs0BUYRkASq+U4OWXUbUFTCBSq4CygjxStdasCMACteDdPdEU/awt6T7FNquSo
FsOrjd62FIfC2g7w56K1zgjAuvRlR69pCiWHyMkW+PLa6C1b4fZRnCZb99K1vi4ANFKWrxkKVMOG
bhjlfri7APQtB5xJ+fKL5bZF+4BuEcyXVALlnExyDgDUlI7P1vQXE0PVwF4BfhKtfRMAhHuxP0lM
f3Fv3jNFCkbRmpZgqwphGFZA8jPy1jpLgIvdlp0OrIEkjOABEzDNW1MJLAa6DbCgB/F7S5UAHswG
94AFS60LKAK8hQawoXzdzVXRNrEGQ2Ph5TZNtF91VNjybGr+oaH2ZJ3kHnR4YkqQebTXGiyB2tS1
kkwPLzJXeosWRza03Bpk1wYOjrxrlW0WGKhoTWuwHIX9sYexFN+2z03UAdbKzog+J0cDOLlWjbLh
Jzi6YusWbrTT1vURF06V3SkxBNvQCYOKYoh1L8mkviIAZgfK4ry1b3cop4K0GWgK00CcC/euCbau
gPvBENTiTNKmxQDssuQc0EyFrdFkBlQHpaYVOIrTF0cIUU9TtNZZQc/Rpc+KpoJHTGDEhGZDtKaL
wM4IgJ+8Ead9BkCnin365V6ipipkI9iwyiKpvgD0OSYRj2AVKLTyE6N/xhx5jLRSIMYf5YFYbxzX
eHp/+IMqRLkroA5AJb7Y+KG4AC1EF56F+Pttw+fIw6O1L6twaf6c8t/LAe4+uvGsalTVhxfeOHKj
e1IK8rhz2U2RF/7Hb+9giovczr7Kt/ksf+rQDgPxo1t4VH4cN2mHiw1UVizMOW5UD+gW81FW7IUb
Ze7CrQvWeqaNOyYt2QsO1xguPEzZRwzcIEg7v7vB8k3n0o2nVLmu+p3HOU1uP6sP9t7HP+uFXrrR
gpuMeVNJRQBBdgSX2Km/JThfaWQFX7nzeOqO1uPxstJArhKLk171wctVcu2Optn+OVScJGW7/3nk
0f2qo6LnOslUr/Ayb9JRej8dR1HWEA79ulZ98HK13KSLmfutkpP3unAcZdXxpztz42TqNm50yvCN
rOxbbz73GjzpPZWaRdUoXq6NOzfw/M4nd5RWsoRGyoCjbK//SqAc3beIQ1Iu4jmy8v8ex0nnZLwg
06ISlve+CBbLSr92WcxZsJIms0d5LSEr/RwiXuDJ9X4/xvqlZYeNWSnk9nWCBbJy2ZXdwF10SGvp
fPLuw2+83Y+xyHKJK+FC/8RTSfR8hXXgXZQuDm9PMKxoea6i7LCOVyE4XOvgWRvTcW4YSeE/lYkr
+awfJDRJSr92F4JDp25GvF6RLfUKi9yPMHqSfT8d+1Nvt+fiDlvWNE8f5xs1CitxYo4VyjFeYT98
z4418iZuNN0j/xUmMbWq3CTx4p0nPAUsZLWU7zPuXAykMYan6KDsEwZsBQflE3WQlX83ZhWdbPv4
TxAAWflX7gj9VP3MF2mi2wQ8IZ4CEKJCEf8aE23/etR5x35x0JJhRAKlYTPXCawQjdZEmuHx8e47
bz7ieHZPoRU+Z9+/NY/Y4hf3/tiN3v4LAAD//w==</cx:binary>
              </cx:geoCache>
            </cx:geography>
          </cx:layoutPr>
        </cx:series>
      </cx:plotAreaRegion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ctual!A1"/><Relationship Id="rId13" Type="http://schemas.openxmlformats.org/officeDocument/2006/relationships/image" Target="../media/image10.svg"/><Relationship Id="rId18" Type="http://schemas.microsoft.com/office/2014/relationships/chartEx" Target="../charts/chartEx2.xml"/><Relationship Id="rId3" Type="http://schemas.openxmlformats.org/officeDocument/2006/relationships/hyperlink" Target="#dashboard!A1"/><Relationship Id="rId21" Type="http://schemas.openxmlformats.org/officeDocument/2006/relationships/chart" Target="../charts/chart5.xml"/><Relationship Id="rId7" Type="http://schemas.openxmlformats.org/officeDocument/2006/relationships/image" Target="../media/image6.svg"/><Relationship Id="rId12" Type="http://schemas.openxmlformats.org/officeDocument/2006/relationships/image" Target="../media/image9.png"/><Relationship Id="rId17" Type="http://schemas.openxmlformats.org/officeDocument/2006/relationships/chart" Target="../charts/chart3.xml"/><Relationship Id="rId2" Type="http://schemas.openxmlformats.org/officeDocument/2006/relationships/image" Target="../media/image2.jpg"/><Relationship Id="rId16" Type="http://schemas.openxmlformats.org/officeDocument/2006/relationships/chart" Target="../charts/chart2.xml"/><Relationship Id="rId20" Type="http://schemas.openxmlformats.org/officeDocument/2006/relationships/chart" Target="../charts/chart4.xml"/><Relationship Id="rId1" Type="http://schemas.openxmlformats.org/officeDocument/2006/relationships/hyperlink" Target="#'pivot table'!A1"/><Relationship Id="rId6" Type="http://schemas.openxmlformats.org/officeDocument/2006/relationships/image" Target="../media/image5.png"/><Relationship Id="rId11" Type="http://schemas.openxmlformats.org/officeDocument/2006/relationships/hyperlink" Target="#target!A1"/><Relationship Id="rId5" Type="http://schemas.openxmlformats.org/officeDocument/2006/relationships/image" Target="../media/image4.svg"/><Relationship Id="rId15" Type="http://schemas.microsoft.com/office/2014/relationships/chartEx" Target="../charts/chartEx1.xml"/><Relationship Id="rId10" Type="http://schemas.openxmlformats.org/officeDocument/2006/relationships/image" Target="../media/image8.svg"/><Relationship Id="rId19" Type="http://schemas.microsoft.com/office/2014/relationships/chartEx" Target="../charts/chartEx3.xml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1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55323</xdr:colOff>
      <xdr:row>3</xdr:row>
      <xdr:rowOff>86951</xdr:rowOff>
    </xdr:from>
    <xdr:to>
      <xdr:col>1</xdr:col>
      <xdr:colOff>352503</xdr:colOff>
      <xdr:row>39</xdr:row>
      <xdr:rowOff>31315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8F25D6-56F4-EAC7-9439-12C42A1832E3}"/>
            </a:ext>
          </a:extLst>
        </xdr:cNvPr>
        <xdr:cNvSpPr/>
      </xdr:nvSpPr>
      <xdr:spPr>
        <a:xfrm>
          <a:off x="55323" y="650622"/>
          <a:ext cx="902605" cy="670841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68580</xdr:colOff>
      <xdr:row>0</xdr:row>
      <xdr:rowOff>38099</xdr:rowOff>
    </xdr:from>
    <xdr:to>
      <xdr:col>23</xdr:col>
      <xdr:colOff>453572</xdr:colOff>
      <xdr:row>5</xdr:row>
      <xdr:rowOff>30479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815DABD-9D6F-44C0-BD92-25358B896294}"/>
            </a:ext>
          </a:extLst>
        </xdr:cNvPr>
        <xdr:cNvSpPr/>
      </xdr:nvSpPr>
      <xdr:spPr>
        <a:xfrm rot="16200000">
          <a:off x="6800850" y="-6694171"/>
          <a:ext cx="899523" cy="1436406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386218</xdr:colOff>
      <xdr:row>5</xdr:row>
      <xdr:rowOff>52192</xdr:rowOff>
    </xdr:from>
    <xdr:to>
      <xdr:col>7</xdr:col>
      <xdr:colOff>532355</xdr:colOff>
      <xdr:row>16</xdr:row>
      <xdr:rowOff>41753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C6469E-A1A9-CCC6-D439-5610A630E593}"/>
            </a:ext>
          </a:extLst>
        </xdr:cNvPr>
        <xdr:cNvSpPr/>
      </xdr:nvSpPr>
      <xdr:spPr>
        <a:xfrm>
          <a:off x="991643" y="991644"/>
          <a:ext cx="3778685" cy="2056356"/>
        </a:xfrm>
        <a:prstGeom prst="rect">
          <a:avLst/>
        </a:prstGeom>
        <a:solidFill>
          <a:schemeClr val="tx1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521917</xdr:colOff>
      <xdr:row>5</xdr:row>
      <xdr:rowOff>41754</xdr:rowOff>
    </xdr:from>
    <xdr:to>
      <xdr:col>14</xdr:col>
      <xdr:colOff>85803</xdr:colOff>
      <xdr:row>16</xdr:row>
      <xdr:rowOff>46555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18A8FA-0817-4D3E-942B-85B958FEE16D}"/>
            </a:ext>
          </a:extLst>
        </xdr:cNvPr>
        <xdr:cNvSpPr/>
      </xdr:nvSpPr>
      <xdr:spPr>
        <a:xfrm>
          <a:off x="4759890" y="981206"/>
          <a:ext cx="3801858" cy="2071596"/>
        </a:xfrm>
        <a:prstGeom prst="rect">
          <a:avLst/>
        </a:prstGeom>
        <a:solidFill>
          <a:schemeClr val="tx1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93945</xdr:colOff>
      <xdr:row>5</xdr:row>
      <xdr:rowOff>62631</xdr:rowOff>
    </xdr:from>
    <xdr:to>
      <xdr:col>20</xdr:col>
      <xdr:colOff>312420</xdr:colOff>
      <xdr:row>16</xdr:row>
      <xdr:rowOff>54176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3005254-5EC4-4DD4-862D-978A570D9282}"/>
            </a:ext>
          </a:extLst>
        </xdr:cNvPr>
        <xdr:cNvSpPr/>
      </xdr:nvSpPr>
      <xdr:spPr>
        <a:xfrm>
          <a:off x="8569890" y="1002083"/>
          <a:ext cx="3851023" cy="2058340"/>
        </a:xfrm>
        <a:prstGeom prst="rect">
          <a:avLst/>
        </a:prstGeom>
        <a:solidFill>
          <a:schemeClr val="tx1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323850</xdr:colOff>
      <xdr:row>5</xdr:row>
      <xdr:rowOff>62630</xdr:rowOff>
    </xdr:from>
    <xdr:to>
      <xdr:col>23</xdr:col>
      <xdr:colOff>498929</xdr:colOff>
      <xdr:row>39</xdr:row>
      <xdr:rowOff>10438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BAB5735-9402-4A79-AFE0-668175BB7E7A}"/>
            </a:ext>
          </a:extLst>
        </xdr:cNvPr>
        <xdr:cNvSpPr/>
      </xdr:nvSpPr>
      <xdr:spPr>
        <a:xfrm>
          <a:off x="12515850" y="967505"/>
          <a:ext cx="2003879" cy="6100958"/>
        </a:xfrm>
        <a:prstGeom prst="rect">
          <a:avLst/>
        </a:prstGeom>
        <a:solidFill>
          <a:schemeClr val="tx1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361950</xdr:colOff>
      <xdr:row>28</xdr:row>
      <xdr:rowOff>15006</xdr:rowOff>
    </xdr:from>
    <xdr:to>
      <xdr:col>20</xdr:col>
      <xdr:colOff>389352</xdr:colOff>
      <xdr:row>39</xdr:row>
      <xdr:rowOff>4568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1824BE8-33C3-BF9D-E9B4-BC9E566823FF}"/>
            </a:ext>
          </a:extLst>
        </xdr:cNvPr>
        <xdr:cNvSpPr/>
      </xdr:nvSpPr>
      <xdr:spPr>
        <a:xfrm>
          <a:off x="971550" y="5082306"/>
          <a:ext cx="11609802" cy="1980287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365340</xdr:colOff>
      <xdr:row>16</xdr:row>
      <xdr:rowOff>41754</xdr:rowOff>
    </xdr:from>
    <xdr:to>
      <xdr:col>7</xdr:col>
      <xdr:colOff>532355</xdr:colOff>
      <xdr:row>28</xdr:row>
      <xdr:rowOff>52192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22A1C12-FF30-48D6-6A18-2A3393025C90}"/>
            </a:ext>
          </a:extLst>
        </xdr:cNvPr>
        <xdr:cNvSpPr/>
      </xdr:nvSpPr>
      <xdr:spPr>
        <a:xfrm>
          <a:off x="970765" y="3048001"/>
          <a:ext cx="3799563" cy="2265123"/>
        </a:xfrm>
        <a:prstGeom prst="rect">
          <a:avLst/>
        </a:prstGeom>
        <a:solidFill>
          <a:schemeClr val="tx1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532356</xdr:colOff>
      <xdr:row>16</xdr:row>
      <xdr:rowOff>27139</xdr:rowOff>
    </xdr:from>
    <xdr:to>
      <xdr:col>14</xdr:col>
      <xdr:colOff>114822</xdr:colOff>
      <xdr:row>28</xdr:row>
      <xdr:rowOff>37577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9198FFE-842C-487E-BAEF-6DBADD9111FB}"/>
            </a:ext>
          </a:extLst>
        </xdr:cNvPr>
        <xdr:cNvSpPr/>
      </xdr:nvSpPr>
      <xdr:spPr>
        <a:xfrm>
          <a:off x="4770329" y="3033386"/>
          <a:ext cx="3820438" cy="2265123"/>
        </a:xfrm>
        <a:prstGeom prst="rect">
          <a:avLst/>
        </a:prstGeom>
        <a:solidFill>
          <a:schemeClr val="tx1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135699</xdr:colOff>
      <xdr:row>16</xdr:row>
      <xdr:rowOff>43840</xdr:rowOff>
    </xdr:from>
    <xdr:to>
      <xdr:col>20</xdr:col>
      <xdr:colOff>304801</xdr:colOff>
      <xdr:row>28</xdr:row>
      <xdr:rowOff>54278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47D8416-7B2B-480C-A208-FF8BD3395521}"/>
            </a:ext>
          </a:extLst>
        </xdr:cNvPr>
        <xdr:cNvSpPr/>
      </xdr:nvSpPr>
      <xdr:spPr>
        <a:xfrm>
          <a:off x="8670099" y="2939440"/>
          <a:ext cx="3826702" cy="2182138"/>
        </a:xfrm>
        <a:prstGeom prst="rect">
          <a:avLst/>
        </a:prstGeom>
        <a:solidFill>
          <a:schemeClr val="tx1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146135</xdr:colOff>
      <xdr:row>0</xdr:row>
      <xdr:rowOff>125259</xdr:rowOff>
    </xdr:from>
    <xdr:to>
      <xdr:col>19</xdr:col>
      <xdr:colOff>344465</xdr:colOff>
      <xdr:row>4</xdr:row>
      <xdr:rowOff>128390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941ACA1-00E1-99AC-457E-92425111D723}"/>
            </a:ext>
          </a:extLst>
        </xdr:cNvPr>
        <xdr:cNvSpPr txBox="1"/>
      </xdr:nvSpPr>
      <xdr:spPr>
        <a:xfrm>
          <a:off x="751560" y="125259"/>
          <a:ext cx="11095973" cy="754693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IN" sz="4800" b="1">
              <a:solidFill>
                <a:schemeClr val="bg2"/>
              </a:solidFill>
              <a:latin typeface="+mj-lt"/>
            </a:rPr>
            <a:t>Amazon Performance Dashboard- 2025</a:t>
          </a:r>
        </a:p>
      </xdr:txBody>
    </xdr:sp>
    <xdr:clientData/>
  </xdr:twoCellAnchor>
  <xdr:twoCellAnchor editAs="oneCell">
    <xdr:from>
      <xdr:col>0</xdr:col>
      <xdr:colOff>73069</xdr:colOff>
      <xdr:row>0</xdr:row>
      <xdr:rowOff>41754</xdr:rowOff>
    </xdr:from>
    <xdr:to>
      <xdr:col>1</xdr:col>
      <xdr:colOff>354904</xdr:colOff>
      <xdr:row>4</xdr:row>
      <xdr:rowOff>177452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7DCEBE2-6FDE-916B-467B-DA8A7DDE2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9" y="41754"/>
          <a:ext cx="887260" cy="887260"/>
        </a:xfrm>
        <a:prstGeom prst="rect">
          <a:avLst/>
        </a:prstGeom>
      </xdr:spPr>
    </xdr:pic>
    <xdr:clientData/>
  </xdr:twoCellAnchor>
  <xdr:twoCellAnchor editAs="oneCell">
    <xdr:from>
      <xdr:col>0</xdr:col>
      <xdr:colOff>93946</xdr:colOff>
      <xdr:row>6</xdr:row>
      <xdr:rowOff>167016</xdr:rowOff>
    </xdr:from>
    <xdr:to>
      <xdr:col>1</xdr:col>
      <xdr:colOff>323588</xdr:colOff>
      <xdr:row>11</xdr:row>
      <xdr:rowOff>62630</xdr:rowOff>
    </xdr:to>
    <xdr:pic>
      <xdr:nvPicPr>
        <xdr:cNvPr id="19" name="Graphic 18" descr="Presentation with pie chart with solid fi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1EE64E-CD84-254D-AB55-23A22049C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3946" y="1294358"/>
          <a:ext cx="835067" cy="835067"/>
        </a:xfrm>
        <a:prstGeom prst="rect">
          <a:avLst/>
        </a:prstGeom>
      </xdr:spPr>
    </xdr:pic>
    <xdr:clientData/>
  </xdr:twoCellAnchor>
  <xdr:twoCellAnchor editAs="oneCell">
    <xdr:from>
      <xdr:col>0</xdr:col>
      <xdr:colOff>198329</xdr:colOff>
      <xdr:row>11</xdr:row>
      <xdr:rowOff>156576</xdr:rowOff>
    </xdr:from>
    <xdr:to>
      <xdr:col>1</xdr:col>
      <xdr:colOff>219205</xdr:colOff>
      <xdr:row>15</xdr:row>
      <xdr:rowOff>31316</xdr:rowOff>
    </xdr:to>
    <xdr:pic>
      <xdr:nvPicPr>
        <xdr:cNvPr id="21" name="Graphic 20" descr="Pencil with solid fill">
          <a:extLst>
            <a:ext uri="{FF2B5EF4-FFF2-40B4-BE49-F238E27FC236}">
              <a16:creationId xmlns:a16="http://schemas.microsoft.com/office/drawing/2014/main" id="{70EAD714-4F45-F7CD-1D48-1C9987D7A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98329" y="2223371"/>
          <a:ext cx="626301" cy="626301"/>
        </a:xfrm>
        <a:prstGeom prst="rect">
          <a:avLst/>
        </a:prstGeom>
      </xdr:spPr>
    </xdr:pic>
    <xdr:clientData/>
  </xdr:twoCellAnchor>
  <xdr:twoCellAnchor editAs="oneCell">
    <xdr:from>
      <xdr:col>0</xdr:col>
      <xdr:colOff>73068</xdr:colOff>
      <xdr:row>16</xdr:row>
      <xdr:rowOff>146138</xdr:rowOff>
    </xdr:from>
    <xdr:to>
      <xdr:col>1</xdr:col>
      <xdr:colOff>365341</xdr:colOff>
      <xdr:row>21</xdr:row>
      <xdr:rowOff>104384</xdr:rowOff>
    </xdr:to>
    <xdr:pic>
      <xdr:nvPicPr>
        <xdr:cNvPr id="23" name="Graphic 22" descr="Database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59077A8-BAB6-3114-59D5-BEFBF7866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3068" y="3152385"/>
          <a:ext cx="897698" cy="897698"/>
        </a:xfrm>
        <a:prstGeom prst="rect">
          <a:avLst/>
        </a:prstGeom>
      </xdr:spPr>
    </xdr:pic>
    <xdr:clientData/>
  </xdr:twoCellAnchor>
  <xdr:twoCellAnchor editAs="oneCell">
    <xdr:from>
      <xdr:col>0</xdr:col>
      <xdr:colOff>114823</xdr:colOff>
      <xdr:row>23</xdr:row>
      <xdr:rowOff>121087</xdr:rowOff>
    </xdr:from>
    <xdr:to>
      <xdr:col>1</xdr:col>
      <xdr:colOff>302712</xdr:colOff>
      <xdr:row>27</xdr:row>
      <xdr:rowOff>162839</xdr:rowOff>
    </xdr:to>
    <xdr:pic>
      <xdr:nvPicPr>
        <xdr:cNvPr id="25" name="Graphic 24" descr="Bullseye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3EDAC7-8E95-134E-2213-907D41AEA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14823" y="4442566"/>
          <a:ext cx="793314" cy="793314"/>
        </a:xfrm>
        <a:prstGeom prst="rect">
          <a:avLst/>
        </a:prstGeom>
      </xdr:spPr>
    </xdr:pic>
    <xdr:clientData/>
  </xdr:twoCellAnchor>
  <xdr:twoCellAnchor>
    <xdr:from>
      <xdr:col>1</xdr:col>
      <xdr:colOff>386218</xdr:colOff>
      <xdr:row>5</xdr:row>
      <xdr:rowOff>52192</xdr:rowOff>
    </xdr:from>
    <xdr:to>
      <xdr:col>7</xdr:col>
      <xdr:colOff>501041</xdr:colOff>
      <xdr:row>15</xdr:row>
      <xdr:rowOff>167014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508AB0C-DBD6-4C8B-9FDA-5C381EBD9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52193</xdr:colOff>
      <xdr:row>5</xdr:row>
      <xdr:rowOff>62631</xdr:rowOff>
    </xdr:from>
    <xdr:to>
      <xdr:col>20</xdr:col>
      <xdr:colOff>354904</xdr:colOff>
      <xdr:row>16</xdr:row>
      <xdr:rowOff>41754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0382D0F3-811C-4E24-BB0A-C5216CFFBB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28138" y="1002083"/>
              <a:ext cx="3935259" cy="20459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365339</xdr:colOff>
      <xdr:row>16</xdr:row>
      <xdr:rowOff>41753</xdr:rowOff>
    </xdr:from>
    <xdr:to>
      <xdr:col>7</xdr:col>
      <xdr:colOff>501040</xdr:colOff>
      <xdr:row>28</xdr:row>
      <xdr:rowOff>20875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342B67B-84A5-4631-AA39-737A4852B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521916</xdr:colOff>
      <xdr:row>5</xdr:row>
      <xdr:rowOff>41755</xdr:rowOff>
    </xdr:from>
    <xdr:to>
      <xdr:col>14</xdr:col>
      <xdr:colOff>104383</xdr:colOff>
      <xdr:row>16</xdr:row>
      <xdr:rowOff>10438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4F526EA-1319-4935-BC4E-422AEBD39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517071</xdr:colOff>
      <xdr:row>15</xdr:row>
      <xdr:rowOff>172357</xdr:rowOff>
    </xdr:from>
    <xdr:to>
      <xdr:col>14</xdr:col>
      <xdr:colOff>145143</xdr:colOff>
      <xdr:row>28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3418435F-C247-408F-8A30-EA71DE897C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4271" y="2886982"/>
              <a:ext cx="3895272" cy="22850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102645</xdr:colOff>
      <xdr:row>16</xdr:row>
      <xdr:rowOff>64407</xdr:rowOff>
    </xdr:from>
    <xdr:to>
      <xdr:col>20</xdr:col>
      <xdr:colOff>304800</xdr:colOff>
      <xdr:row>28</xdr:row>
      <xdr:rowOff>95250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3BD0AC85-CF65-4B9E-8659-82421915B9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37045" y="2960007"/>
              <a:ext cx="3859755" cy="2202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334029</xdr:colOff>
      <xdr:row>5</xdr:row>
      <xdr:rowOff>62630</xdr:rowOff>
    </xdr:from>
    <xdr:to>
      <xdr:col>24</xdr:col>
      <xdr:colOff>471714</xdr:colOff>
      <xdr:row>23</xdr:row>
      <xdr:rowOff>127000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33F6F41-7B92-46E0-93F4-4EEBEF087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562429</xdr:colOff>
      <xdr:row>16</xdr:row>
      <xdr:rowOff>117930</xdr:rowOff>
    </xdr:from>
    <xdr:to>
      <xdr:col>26</xdr:col>
      <xdr:colOff>566352</xdr:colOff>
      <xdr:row>32</xdr:row>
      <xdr:rowOff>90705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5F14BF1-F9A9-4258-8421-14DEAF901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449087b0c91cbce/Desktop/EXCEL/Raw_Data01.xlsx" TargetMode="External"/><Relationship Id="rId1" Type="http://schemas.openxmlformats.org/officeDocument/2006/relationships/externalLinkPath" Target="Raw_Data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get"/>
      <sheetName val="actual"/>
    </sheetNames>
    <sheetDataSet>
      <sheetData sheetId="0">
        <row r="318">
          <cell r="D318">
            <v>22276800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7A7F-3AAF-49FC-AE24-6ED5ECE26E8F}">
  <dimension ref="A1:S329"/>
  <sheetViews>
    <sheetView zoomScale="88" zoomScaleNormal="82" workbookViewId="0">
      <selection activeCell="D22" sqref="D22"/>
    </sheetView>
  </sheetViews>
  <sheetFormatPr defaultRowHeight="14.4" x14ac:dyDescent="0.3"/>
  <cols>
    <col min="1" max="1" width="7.77734375" bestFit="1" customWidth="1"/>
    <col min="2" max="2" width="27.88671875" customWidth="1"/>
    <col min="3" max="3" width="16.44140625" customWidth="1"/>
    <col min="4" max="4" width="27.88671875" customWidth="1"/>
    <col min="5" max="5" width="19.6640625" customWidth="1"/>
    <col min="6" max="6" width="17.44140625" customWidth="1"/>
    <col min="7" max="7" width="16.88671875" customWidth="1"/>
    <col min="8" max="8" width="15.6640625" customWidth="1"/>
    <col min="9" max="9" width="14.5546875" customWidth="1"/>
    <col min="10" max="10" width="10" customWidth="1"/>
    <col min="11" max="11" width="16.21875" customWidth="1"/>
    <col min="12" max="12" width="19.88671875" customWidth="1"/>
    <col min="14" max="14" width="19.6640625" customWidth="1"/>
    <col min="15" max="15" width="17.44140625" customWidth="1"/>
    <col min="16" max="16" width="16.88671875" customWidth="1"/>
    <col min="17" max="17" width="27.88671875" customWidth="1"/>
    <col min="19" max="19" width="27.88671875" customWidth="1"/>
  </cols>
  <sheetData>
    <row r="1" spans="1:19" s="6" customFormat="1" ht="20.399999999999999" x14ac:dyDescent="0.25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412</v>
      </c>
      <c r="J1" s="15" t="s">
        <v>8</v>
      </c>
      <c r="K1" s="15" t="s">
        <v>9</v>
      </c>
      <c r="L1" s="16"/>
      <c r="N1" s="15" t="s">
        <v>4</v>
      </c>
      <c r="O1" s="15" t="s">
        <v>5</v>
      </c>
      <c r="P1" s="15"/>
      <c r="Q1" s="15"/>
      <c r="S1" s="15" t="s">
        <v>3</v>
      </c>
    </row>
    <row r="2" spans="1:19" ht="18" x14ac:dyDescent="0.35">
      <c r="A2" s="17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3" t="s">
        <v>15</v>
      </c>
      <c r="I2" s="3">
        <v>4292</v>
      </c>
      <c r="J2" s="3">
        <v>2</v>
      </c>
      <c r="K2" s="3">
        <v>2</v>
      </c>
      <c r="L2" s="18"/>
      <c r="P2" s="3"/>
      <c r="S2" s="3" t="s">
        <v>12</v>
      </c>
    </row>
    <row r="3" spans="1:19" ht="18" x14ac:dyDescent="0.35">
      <c r="A3" s="17">
        <v>2</v>
      </c>
      <c r="B3" s="3" t="s">
        <v>16</v>
      </c>
      <c r="C3" s="3" t="s">
        <v>11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15</v>
      </c>
      <c r="I3" s="3">
        <v>8037</v>
      </c>
      <c r="J3" s="3">
        <v>3</v>
      </c>
      <c r="K3" s="3">
        <v>3</v>
      </c>
      <c r="L3" s="18"/>
      <c r="P3" s="3"/>
      <c r="S3" s="3" t="s">
        <v>17</v>
      </c>
    </row>
    <row r="4" spans="1:19" ht="18" x14ac:dyDescent="0.35">
      <c r="A4" s="17">
        <v>3</v>
      </c>
      <c r="B4" s="3" t="s">
        <v>21</v>
      </c>
      <c r="C4" s="3" t="s">
        <v>11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15</v>
      </c>
      <c r="I4" s="3">
        <v>2415</v>
      </c>
      <c r="J4" s="3">
        <v>4</v>
      </c>
      <c r="K4" s="3">
        <v>4</v>
      </c>
      <c r="L4" s="18"/>
      <c r="P4" s="3"/>
      <c r="S4" s="3" t="s">
        <v>22</v>
      </c>
    </row>
    <row r="5" spans="1:19" ht="18" x14ac:dyDescent="0.35">
      <c r="A5" s="17">
        <v>4</v>
      </c>
      <c r="B5" s="3" t="s">
        <v>26</v>
      </c>
      <c r="C5" s="3" t="s">
        <v>11</v>
      </c>
      <c r="D5" s="3" t="s">
        <v>22</v>
      </c>
      <c r="E5" s="3" t="s">
        <v>27</v>
      </c>
      <c r="F5" s="3" t="s">
        <v>28</v>
      </c>
      <c r="G5" s="3" t="s">
        <v>29</v>
      </c>
      <c r="H5" s="3" t="s">
        <v>15</v>
      </c>
      <c r="I5" s="3">
        <v>3941</v>
      </c>
      <c r="J5" s="3">
        <v>5</v>
      </c>
      <c r="K5" s="3">
        <v>5</v>
      </c>
      <c r="L5" s="18"/>
      <c r="P5" s="3"/>
      <c r="S5" s="3" t="s">
        <v>32</v>
      </c>
    </row>
    <row r="6" spans="1:19" ht="18" x14ac:dyDescent="0.35">
      <c r="A6" s="17">
        <v>5</v>
      </c>
      <c r="B6" s="3" t="s">
        <v>30</v>
      </c>
      <c r="C6" s="3" t="s">
        <v>31</v>
      </c>
      <c r="D6" s="3" t="s">
        <v>32</v>
      </c>
      <c r="E6" s="3" t="s">
        <v>27</v>
      </c>
      <c r="F6" s="3" t="s">
        <v>33</v>
      </c>
      <c r="G6" s="3" t="s">
        <v>34</v>
      </c>
      <c r="H6" s="3" t="s">
        <v>15</v>
      </c>
      <c r="I6" s="3">
        <v>4607</v>
      </c>
      <c r="J6" s="3">
        <v>6</v>
      </c>
      <c r="K6" s="3">
        <v>6</v>
      </c>
      <c r="L6" s="18"/>
      <c r="P6" s="3"/>
      <c r="S6" s="3" t="s">
        <v>121</v>
      </c>
    </row>
    <row r="7" spans="1:19" ht="15.6" x14ac:dyDescent="0.35">
      <c r="A7" s="19">
        <v>6</v>
      </c>
      <c r="B7" s="3" t="s">
        <v>35</v>
      </c>
      <c r="C7" s="3" t="s">
        <v>31</v>
      </c>
      <c r="D7" s="3" t="s">
        <v>32</v>
      </c>
      <c r="E7" s="3" t="s">
        <v>27</v>
      </c>
      <c r="F7" s="3" t="s">
        <v>36</v>
      </c>
      <c r="G7" s="3" t="s">
        <v>37</v>
      </c>
      <c r="H7" s="3" t="s">
        <v>15</v>
      </c>
      <c r="I7" s="3">
        <v>4261</v>
      </c>
      <c r="J7" s="3">
        <v>7</v>
      </c>
      <c r="K7" s="3">
        <v>7</v>
      </c>
      <c r="L7" s="18"/>
      <c r="P7" s="3"/>
      <c r="S7" s="3" t="s">
        <v>62</v>
      </c>
    </row>
    <row r="8" spans="1:19" ht="15.6" x14ac:dyDescent="0.35">
      <c r="A8" s="19">
        <v>7</v>
      </c>
      <c r="B8" s="3" t="s">
        <v>38</v>
      </c>
      <c r="C8" s="3" t="s">
        <v>31</v>
      </c>
      <c r="D8" s="3" t="s">
        <v>121</v>
      </c>
      <c r="E8" s="3" t="s">
        <v>18</v>
      </c>
      <c r="F8" s="3" t="s">
        <v>39</v>
      </c>
      <c r="G8" s="3" t="s">
        <v>40</v>
      </c>
      <c r="H8" s="3" t="s">
        <v>15</v>
      </c>
      <c r="I8" s="3">
        <v>9084</v>
      </c>
      <c r="J8" s="3">
        <v>8</v>
      </c>
      <c r="K8" s="3">
        <v>8</v>
      </c>
      <c r="L8" s="18"/>
      <c r="P8" s="3"/>
      <c r="S8" s="3" t="s">
        <v>67</v>
      </c>
    </row>
    <row r="9" spans="1:19" ht="15.6" x14ac:dyDescent="0.35">
      <c r="A9" s="19">
        <v>8</v>
      </c>
      <c r="B9" s="3" t="s">
        <v>41</v>
      </c>
      <c r="C9" s="3" t="s">
        <v>31</v>
      </c>
      <c r="D9" s="3" t="s">
        <v>32</v>
      </c>
      <c r="E9" s="3" t="s">
        <v>18</v>
      </c>
      <c r="F9" s="3" t="s">
        <v>42</v>
      </c>
      <c r="G9" s="3" t="s">
        <v>20</v>
      </c>
      <c r="H9" s="3" t="s">
        <v>15</v>
      </c>
      <c r="I9" s="3">
        <v>6694</v>
      </c>
      <c r="J9" s="3">
        <v>9</v>
      </c>
      <c r="K9" s="3">
        <v>9</v>
      </c>
      <c r="L9" s="18"/>
      <c r="N9" s="4"/>
      <c r="P9" s="3"/>
      <c r="S9" s="3" t="s">
        <v>104</v>
      </c>
    </row>
    <row r="10" spans="1:19" ht="15.6" x14ac:dyDescent="0.35">
      <c r="A10" s="19">
        <v>9</v>
      </c>
      <c r="B10" s="3" t="s">
        <v>43</v>
      </c>
      <c r="C10" s="3" t="s">
        <v>11</v>
      </c>
      <c r="D10" s="3" t="s">
        <v>12</v>
      </c>
      <c r="E10" s="3" t="s">
        <v>13</v>
      </c>
      <c r="F10" s="3" t="s">
        <v>44</v>
      </c>
      <c r="G10" s="3" t="s">
        <v>45</v>
      </c>
      <c r="H10" s="3" t="s">
        <v>46</v>
      </c>
      <c r="I10" s="3">
        <v>2678</v>
      </c>
      <c r="J10" s="3">
        <v>10</v>
      </c>
      <c r="K10" s="3">
        <v>10</v>
      </c>
      <c r="L10" s="18"/>
      <c r="P10" s="3"/>
      <c r="S10" s="3" t="s">
        <v>142</v>
      </c>
    </row>
    <row r="11" spans="1:19" ht="15.6" x14ac:dyDescent="0.35">
      <c r="A11" s="19">
        <v>10</v>
      </c>
      <c r="B11" s="3" t="s">
        <v>47</v>
      </c>
      <c r="C11" s="3" t="s">
        <v>11</v>
      </c>
      <c r="D11" s="3" t="s">
        <v>12</v>
      </c>
      <c r="E11" s="3" t="s">
        <v>18</v>
      </c>
      <c r="F11" s="3" t="s">
        <v>48</v>
      </c>
      <c r="G11" s="3" t="s">
        <v>40</v>
      </c>
      <c r="H11" s="3" t="s">
        <v>46</v>
      </c>
      <c r="I11" s="3">
        <v>1631</v>
      </c>
      <c r="J11" s="3">
        <v>11</v>
      </c>
      <c r="K11" s="3">
        <v>11</v>
      </c>
      <c r="L11" s="18"/>
      <c r="P11" s="3"/>
      <c r="S11" s="3" t="s">
        <v>174</v>
      </c>
    </row>
    <row r="12" spans="1:19" ht="15.6" x14ac:dyDescent="0.35">
      <c r="A12" s="20">
        <v>11</v>
      </c>
      <c r="B12" s="3" t="s">
        <v>49</v>
      </c>
      <c r="C12" s="3" t="s">
        <v>11</v>
      </c>
      <c r="D12" s="3" t="s">
        <v>12</v>
      </c>
      <c r="E12" s="3" t="s">
        <v>13</v>
      </c>
      <c r="F12" s="3" t="s">
        <v>50</v>
      </c>
      <c r="G12" s="3" t="s">
        <v>51</v>
      </c>
      <c r="H12" s="3" t="s">
        <v>46</v>
      </c>
      <c r="I12" s="3">
        <v>4171</v>
      </c>
      <c r="J12" s="2">
        <v>12</v>
      </c>
      <c r="K12" s="2">
        <v>12</v>
      </c>
      <c r="L12" s="18"/>
      <c r="P12" s="3"/>
      <c r="S12" s="4"/>
    </row>
    <row r="13" spans="1:19" ht="21" x14ac:dyDescent="0.35">
      <c r="A13" s="19">
        <v>12</v>
      </c>
      <c r="B13" s="3" t="s">
        <v>52</v>
      </c>
      <c r="C13" s="3" t="s">
        <v>11</v>
      </c>
      <c r="D13" s="3" t="s">
        <v>12</v>
      </c>
      <c r="E13" s="3" t="s">
        <v>13</v>
      </c>
      <c r="F13" s="3" t="s">
        <v>53</v>
      </c>
      <c r="G13" s="3" t="s">
        <v>51</v>
      </c>
      <c r="H13" s="3" t="s">
        <v>46</v>
      </c>
      <c r="I13" s="3">
        <v>4283</v>
      </c>
      <c r="J13" s="3">
        <v>13</v>
      </c>
      <c r="K13" s="3">
        <v>13</v>
      </c>
      <c r="L13" s="18"/>
      <c r="P13" s="1"/>
      <c r="Q13" s="4"/>
    </row>
    <row r="14" spans="1:19" ht="15.6" x14ac:dyDescent="0.35">
      <c r="A14" s="19">
        <v>13</v>
      </c>
      <c r="B14" s="3" t="s">
        <v>54</v>
      </c>
      <c r="C14" s="3" t="s">
        <v>11</v>
      </c>
      <c r="D14" s="3" t="s">
        <v>55</v>
      </c>
      <c r="E14" s="3" t="s">
        <v>18</v>
      </c>
      <c r="F14" s="3" t="s">
        <v>56</v>
      </c>
      <c r="G14" s="3" t="s">
        <v>20</v>
      </c>
      <c r="H14" s="3" t="s">
        <v>46</v>
      </c>
      <c r="I14" s="3">
        <v>4249</v>
      </c>
      <c r="J14" s="3">
        <v>14</v>
      </c>
      <c r="K14" s="3">
        <v>14</v>
      </c>
      <c r="L14" s="18"/>
      <c r="P14" s="3"/>
    </row>
    <row r="15" spans="1:19" ht="15.6" x14ac:dyDescent="0.35">
      <c r="A15" s="19">
        <v>14</v>
      </c>
      <c r="B15" s="3" t="s">
        <v>57</v>
      </c>
      <c r="C15" s="3" t="s">
        <v>11</v>
      </c>
      <c r="D15" s="3" t="s">
        <v>12</v>
      </c>
      <c r="E15" s="3" t="s">
        <v>58</v>
      </c>
      <c r="F15" s="3" t="s">
        <v>59</v>
      </c>
      <c r="G15" s="3" t="s">
        <v>60</v>
      </c>
      <c r="H15" s="3" t="s">
        <v>46</v>
      </c>
      <c r="I15" s="3">
        <v>1902</v>
      </c>
      <c r="J15" s="3">
        <v>15</v>
      </c>
      <c r="K15" s="3">
        <v>15</v>
      </c>
      <c r="L15" s="18"/>
      <c r="P15" s="3"/>
    </row>
    <row r="16" spans="1:19" ht="15.6" x14ac:dyDescent="0.35">
      <c r="A16" s="19">
        <v>20</v>
      </c>
      <c r="B16" s="3" t="s">
        <v>61</v>
      </c>
      <c r="C16" s="3" t="s">
        <v>31</v>
      </c>
      <c r="D16" s="3" t="s">
        <v>62</v>
      </c>
      <c r="E16" s="3" t="s">
        <v>18</v>
      </c>
      <c r="F16" s="3" t="s">
        <v>63</v>
      </c>
      <c r="G16" s="3" t="s">
        <v>40</v>
      </c>
      <c r="H16" s="3" t="s">
        <v>15</v>
      </c>
      <c r="I16" s="3">
        <v>5603</v>
      </c>
      <c r="J16" s="3">
        <v>21</v>
      </c>
      <c r="K16" s="3">
        <v>21</v>
      </c>
      <c r="L16" s="18"/>
      <c r="P16" s="3"/>
    </row>
    <row r="17" spans="1:16" ht="15.6" x14ac:dyDescent="0.35">
      <c r="A17" s="19">
        <v>21</v>
      </c>
      <c r="B17" s="3" t="s">
        <v>64</v>
      </c>
      <c r="C17" s="3" t="s">
        <v>31</v>
      </c>
      <c r="D17" s="3" t="s">
        <v>62</v>
      </c>
      <c r="E17" s="3" t="s">
        <v>13</v>
      </c>
      <c r="F17" s="3" t="s">
        <v>65</v>
      </c>
      <c r="G17" s="3" t="s">
        <v>51</v>
      </c>
      <c r="H17" s="3" t="s">
        <v>15</v>
      </c>
      <c r="I17" s="3">
        <v>9513</v>
      </c>
      <c r="J17" s="3">
        <v>22</v>
      </c>
      <c r="K17" s="3">
        <v>22</v>
      </c>
      <c r="L17" s="18"/>
      <c r="P17" s="3"/>
    </row>
    <row r="18" spans="1:16" ht="15.6" x14ac:dyDescent="0.35">
      <c r="A18" s="19">
        <v>22</v>
      </c>
      <c r="B18" s="3" t="s">
        <v>66</v>
      </c>
      <c r="C18" s="3" t="s">
        <v>11</v>
      </c>
      <c r="D18" s="3" t="s">
        <v>67</v>
      </c>
      <c r="E18" s="3" t="s">
        <v>13</v>
      </c>
      <c r="F18" s="3" t="s">
        <v>68</v>
      </c>
      <c r="G18" s="3" t="s">
        <v>51</v>
      </c>
      <c r="H18" s="3" t="s">
        <v>15</v>
      </c>
      <c r="I18" s="3">
        <v>9633</v>
      </c>
      <c r="J18" s="3">
        <v>23</v>
      </c>
      <c r="K18" s="3">
        <v>23</v>
      </c>
      <c r="L18" s="18"/>
      <c r="P18" s="3"/>
    </row>
    <row r="19" spans="1:16" ht="15.6" x14ac:dyDescent="0.35">
      <c r="A19" s="19">
        <v>23</v>
      </c>
      <c r="B19" s="3" t="s">
        <v>69</v>
      </c>
      <c r="C19" s="3" t="s">
        <v>11</v>
      </c>
      <c r="D19" s="3" t="s">
        <v>67</v>
      </c>
      <c r="E19" s="3" t="s">
        <v>27</v>
      </c>
      <c r="F19" s="3" t="s">
        <v>70</v>
      </c>
      <c r="G19" s="3" t="s">
        <v>29</v>
      </c>
      <c r="H19" s="3" t="s">
        <v>15</v>
      </c>
      <c r="I19" s="3">
        <v>4332</v>
      </c>
      <c r="J19" s="3">
        <v>24</v>
      </c>
      <c r="K19" s="3">
        <v>24</v>
      </c>
      <c r="L19" s="18"/>
      <c r="P19" s="3"/>
    </row>
    <row r="20" spans="1:16" ht="15.6" x14ac:dyDescent="0.35">
      <c r="A20" s="19">
        <v>24</v>
      </c>
      <c r="B20" s="3" t="s">
        <v>71</v>
      </c>
      <c r="C20" s="3" t="s">
        <v>11</v>
      </c>
      <c r="D20" s="3" t="s">
        <v>67</v>
      </c>
      <c r="E20" s="3" t="s">
        <v>27</v>
      </c>
      <c r="F20" s="3" t="s">
        <v>72</v>
      </c>
      <c r="G20" s="3" t="s">
        <v>29</v>
      </c>
      <c r="H20" s="3" t="s">
        <v>15</v>
      </c>
      <c r="I20" s="3">
        <v>1995</v>
      </c>
      <c r="J20" s="3">
        <v>25</v>
      </c>
      <c r="K20" s="3">
        <v>25</v>
      </c>
      <c r="L20" s="18"/>
      <c r="P20" s="3"/>
    </row>
    <row r="21" spans="1:16" ht="15.6" x14ac:dyDescent="0.35">
      <c r="A21" s="19">
        <v>25</v>
      </c>
      <c r="B21" s="3" t="s">
        <v>73</v>
      </c>
      <c r="C21" s="3" t="s">
        <v>11</v>
      </c>
      <c r="D21" s="3" t="s">
        <v>67</v>
      </c>
      <c r="E21" s="3" t="s">
        <v>13</v>
      </c>
      <c r="F21" s="3" t="s">
        <v>74</v>
      </c>
      <c r="G21" s="3" t="s">
        <v>45</v>
      </c>
      <c r="H21" s="3" t="s">
        <v>46</v>
      </c>
      <c r="I21" s="3">
        <v>3691</v>
      </c>
      <c r="J21" s="3">
        <v>26</v>
      </c>
      <c r="K21" s="3">
        <v>26</v>
      </c>
      <c r="L21" s="18"/>
      <c r="P21" s="3"/>
    </row>
    <row r="22" spans="1:16" ht="15.6" x14ac:dyDescent="0.35">
      <c r="A22" s="19">
        <v>26</v>
      </c>
      <c r="B22" s="3" t="s">
        <v>75</v>
      </c>
      <c r="C22" s="3" t="s">
        <v>11</v>
      </c>
      <c r="D22" s="3" t="s">
        <v>67</v>
      </c>
      <c r="E22" s="3" t="s">
        <v>13</v>
      </c>
      <c r="F22" s="3" t="s">
        <v>76</v>
      </c>
      <c r="G22" s="3" t="s">
        <v>51</v>
      </c>
      <c r="H22" s="3" t="s">
        <v>46</v>
      </c>
      <c r="I22" s="3">
        <v>2570</v>
      </c>
      <c r="J22" s="3">
        <v>27</v>
      </c>
      <c r="K22" s="3">
        <v>27</v>
      </c>
      <c r="L22" s="18"/>
      <c r="P22" s="3"/>
    </row>
    <row r="23" spans="1:16" ht="15.6" x14ac:dyDescent="0.35">
      <c r="A23" s="19">
        <v>27</v>
      </c>
      <c r="B23" s="3" t="s">
        <v>77</v>
      </c>
      <c r="C23" s="3" t="s">
        <v>11</v>
      </c>
      <c r="D23" s="3" t="s">
        <v>67</v>
      </c>
      <c r="E23" s="3" t="s">
        <v>23</v>
      </c>
      <c r="F23" s="3" t="s">
        <v>78</v>
      </c>
      <c r="G23" s="3" t="s">
        <v>79</v>
      </c>
      <c r="H23" s="3" t="s">
        <v>46</v>
      </c>
      <c r="I23" s="3">
        <v>2952</v>
      </c>
      <c r="J23" s="3">
        <v>28</v>
      </c>
      <c r="K23" s="3">
        <v>28</v>
      </c>
      <c r="L23" s="18"/>
      <c r="P23" s="3"/>
    </row>
    <row r="24" spans="1:16" ht="15.6" x14ac:dyDescent="0.35">
      <c r="A24" s="19">
        <v>28</v>
      </c>
      <c r="B24" s="3" t="s">
        <v>80</v>
      </c>
      <c r="C24" s="3" t="s">
        <v>11</v>
      </c>
      <c r="D24" s="3" t="s">
        <v>67</v>
      </c>
      <c r="E24" s="3" t="s">
        <v>27</v>
      </c>
      <c r="F24" s="3" t="s">
        <v>81</v>
      </c>
      <c r="G24" s="3" t="s">
        <v>93</v>
      </c>
      <c r="H24" s="3" t="s">
        <v>46</v>
      </c>
      <c r="I24" s="3">
        <v>1992</v>
      </c>
      <c r="J24" s="3">
        <v>29</v>
      </c>
      <c r="K24" s="3">
        <v>29</v>
      </c>
      <c r="L24" s="18"/>
      <c r="P24" s="4"/>
    </row>
    <row r="25" spans="1:16" ht="15.6" x14ac:dyDescent="0.35">
      <c r="A25" s="19">
        <v>29</v>
      </c>
      <c r="B25" s="3" t="s">
        <v>82</v>
      </c>
      <c r="C25" s="3" t="s">
        <v>11</v>
      </c>
      <c r="D25" s="3" t="s">
        <v>67</v>
      </c>
      <c r="E25" s="3" t="s">
        <v>18</v>
      </c>
      <c r="F25" s="3" t="s">
        <v>83</v>
      </c>
      <c r="G25" s="3" t="s">
        <v>20</v>
      </c>
      <c r="H25" s="3" t="s">
        <v>46</v>
      </c>
      <c r="I25" s="3">
        <v>2907</v>
      </c>
      <c r="J25" s="3">
        <v>30</v>
      </c>
      <c r="K25" s="3">
        <v>30</v>
      </c>
      <c r="L25" s="18"/>
    </row>
    <row r="26" spans="1:16" ht="15.6" x14ac:dyDescent="0.35">
      <c r="A26" s="19">
        <v>30</v>
      </c>
      <c r="B26" s="3" t="s">
        <v>84</v>
      </c>
      <c r="C26" s="3" t="s">
        <v>11</v>
      </c>
      <c r="D26" s="3" t="s">
        <v>67</v>
      </c>
      <c r="E26" s="3" t="s">
        <v>13</v>
      </c>
      <c r="F26" s="3" t="s">
        <v>85</v>
      </c>
      <c r="G26" s="3" t="s">
        <v>86</v>
      </c>
      <c r="H26" s="3" t="s">
        <v>46</v>
      </c>
      <c r="I26" s="3">
        <v>2936</v>
      </c>
      <c r="J26" s="3">
        <v>31</v>
      </c>
      <c r="K26" s="3">
        <v>31</v>
      </c>
      <c r="L26" s="18"/>
    </row>
    <row r="27" spans="1:16" ht="15.6" x14ac:dyDescent="0.35">
      <c r="A27" s="19">
        <v>31</v>
      </c>
      <c r="B27" s="3" t="s">
        <v>87</v>
      </c>
      <c r="C27" s="3" t="s">
        <v>11</v>
      </c>
      <c r="D27" s="3" t="s">
        <v>67</v>
      </c>
      <c r="E27" s="3" t="s">
        <v>13</v>
      </c>
      <c r="F27" s="3" t="s">
        <v>88</v>
      </c>
      <c r="G27" s="3" t="s">
        <v>89</v>
      </c>
      <c r="H27" s="3" t="s">
        <v>46</v>
      </c>
      <c r="I27" s="3">
        <v>1784</v>
      </c>
      <c r="J27" s="3">
        <v>32</v>
      </c>
      <c r="K27" s="3">
        <v>32</v>
      </c>
      <c r="L27" s="18"/>
    </row>
    <row r="28" spans="1:16" ht="15.6" x14ac:dyDescent="0.35">
      <c r="A28" s="19">
        <v>32</v>
      </c>
      <c r="B28" s="3" t="s">
        <v>90</v>
      </c>
      <c r="C28" s="3" t="s">
        <v>11</v>
      </c>
      <c r="D28" s="3" t="s">
        <v>67</v>
      </c>
      <c r="E28" s="3" t="s">
        <v>91</v>
      </c>
      <c r="F28" s="3" t="s">
        <v>92</v>
      </c>
      <c r="G28" s="3" t="s">
        <v>93</v>
      </c>
      <c r="H28" s="3" t="s">
        <v>15</v>
      </c>
      <c r="I28" s="3">
        <v>3010</v>
      </c>
      <c r="J28" s="3">
        <v>33</v>
      </c>
      <c r="K28" s="3">
        <v>33</v>
      </c>
      <c r="L28" s="18"/>
    </row>
    <row r="29" spans="1:16" ht="15.6" x14ac:dyDescent="0.35">
      <c r="A29" s="19">
        <v>33</v>
      </c>
      <c r="B29" s="3" t="s">
        <v>94</v>
      </c>
      <c r="C29" s="3" t="s">
        <v>11</v>
      </c>
      <c r="D29" s="3" t="s">
        <v>67</v>
      </c>
      <c r="E29" s="3" t="s">
        <v>13</v>
      </c>
      <c r="F29" s="3" t="s">
        <v>95</v>
      </c>
      <c r="G29" s="3" t="s">
        <v>96</v>
      </c>
      <c r="H29" s="3" t="s">
        <v>15</v>
      </c>
      <c r="I29" s="3">
        <v>9118</v>
      </c>
      <c r="J29" s="3">
        <v>34</v>
      </c>
      <c r="K29" s="3">
        <v>34</v>
      </c>
      <c r="L29" s="18"/>
    </row>
    <row r="30" spans="1:16" ht="15.6" x14ac:dyDescent="0.35">
      <c r="A30" s="19">
        <v>34</v>
      </c>
      <c r="B30" s="3" t="s">
        <v>97</v>
      </c>
      <c r="C30" s="3" t="s">
        <v>11</v>
      </c>
      <c r="D30" s="3" t="s">
        <v>67</v>
      </c>
      <c r="E30" s="3" t="s">
        <v>58</v>
      </c>
      <c r="F30" s="3" t="s">
        <v>98</v>
      </c>
      <c r="G30" s="3" t="s">
        <v>99</v>
      </c>
      <c r="H30" s="3" t="s">
        <v>15</v>
      </c>
      <c r="I30" s="3">
        <v>7291</v>
      </c>
      <c r="J30" s="3">
        <v>35</v>
      </c>
      <c r="K30" s="3">
        <v>35</v>
      </c>
      <c r="L30" s="18"/>
    </row>
    <row r="31" spans="1:16" ht="15.6" x14ac:dyDescent="0.35">
      <c r="A31" s="19">
        <v>35</v>
      </c>
      <c r="B31" s="3" t="s">
        <v>100</v>
      </c>
      <c r="C31" s="3" t="s">
        <v>11</v>
      </c>
      <c r="D31" s="3" t="s">
        <v>67</v>
      </c>
      <c r="E31" s="3" t="s">
        <v>23</v>
      </c>
      <c r="F31" s="3" t="s">
        <v>101</v>
      </c>
      <c r="G31" s="3" t="s">
        <v>25</v>
      </c>
      <c r="H31" s="3" t="s">
        <v>15</v>
      </c>
      <c r="I31" s="3">
        <v>3141</v>
      </c>
      <c r="J31" s="3">
        <v>36</v>
      </c>
      <c r="K31" s="3">
        <v>36</v>
      </c>
      <c r="L31" s="18"/>
    </row>
    <row r="32" spans="1:16" ht="15.6" x14ac:dyDescent="0.35">
      <c r="A32" s="19">
        <v>36</v>
      </c>
      <c r="B32" s="3" t="s">
        <v>102</v>
      </c>
      <c r="C32" s="3" t="s">
        <v>11</v>
      </c>
      <c r="D32" s="3" t="s">
        <v>67</v>
      </c>
      <c r="E32" s="3" t="s">
        <v>23</v>
      </c>
      <c r="F32" s="3" t="s">
        <v>24</v>
      </c>
      <c r="G32" s="3" t="s">
        <v>25</v>
      </c>
      <c r="H32" s="3" t="s">
        <v>46</v>
      </c>
      <c r="I32" s="3">
        <v>7170</v>
      </c>
      <c r="J32" s="3">
        <v>37</v>
      </c>
      <c r="K32" s="3">
        <v>37</v>
      </c>
      <c r="L32" s="18"/>
    </row>
    <row r="33" spans="1:12" ht="15.6" x14ac:dyDescent="0.35">
      <c r="A33" s="19">
        <v>37</v>
      </c>
      <c r="B33" s="3" t="s">
        <v>103</v>
      </c>
      <c r="C33" s="3" t="s">
        <v>11</v>
      </c>
      <c r="D33" s="3" t="s">
        <v>104</v>
      </c>
      <c r="E33" s="3" t="s">
        <v>58</v>
      </c>
      <c r="F33" s="3" t="s">
        <v>105</v>
      </c>
      <c r="G33" s="3" t="s">
        <v>60</v>
      </c>
      <c r="H33" s="3" t="s">
        <v>46</v>
      </c>
      <c r="I33" s="3">
        <v>4724</v>
      </c>
      <c r="J33" s="3">
        <v>38</v>
      </c>
      <c r="K33" s="3">
        <v>38</v>
      </c>
      <c r="L33" s="18"/>
    </row>
    <row r="34" spans="1:12" ht="15.6" x14ac:dyDescent="0.35">
      <c r="A34" s="19">
        <v>38</v>
      </c>
      <c r="B34" s="3" t="s">
        <v>106</v>
      </c>
      <c r="C34" s="3" t="s">
        <v>11</v>
      </c>
      <c r="D34" s="3" t="s">
        <v>104</v>
      </c>
      <c r="E34" s="3" t="s">
        <v>23</v>
      </c>
      <c r="F34" s="3" t="s">
        <v>107</v>
      </c>
      <c r="G34" s="3" t="s">
        <v>79</v>
      </c>
      <c r="H34" s="3" t="s">
        <v>46</v>
      </c>
      <c r="I34" s="3">
        <v>5398</v>
      </c>
      <c r="J34" s="3">
        <v>39</v>
      </c>
      <c r="K34" s="3">
        <v>39</v>
      </c>
      <c r="L34" s="18"/>
    </row>
    <row r="35" spans="1:12" ht="15.6" x14ac:dyDescent="0.35">
      <c r="A35" s="19">
        <v>39</v>
      </c>
      <c r="B35" s="3" t="s">
        <v>108</v>
      </c>
      <c r="C35" s="3" t="s">
        <v>11</v>
      </c>
      <c r="D35" s="3" t="s">
        <v>104</v>
      </c>
      <c r="E35" s="3" t="s">
        <v>23</v>
      </c>
      <c r="F35" s="3" t="s">
        <v>109</v>
      </c>
      <c r="G35" s="3" t="s">
        <v>25</v>
      </c>
      <c r="H35" s="3" t="s">
        <v>46</v>
      </c>
      <c r="I35" s="3">
        <v>9466</v>
      </c>
      <c r="J35" s="3">
        <v>40</v>
      </c>
      <c r="K35" s="3">
        <v>40</v>
      </c>
      <c r="L35" s="18"/>
    </row>
    <row r="36" spans="1:12" ht="15.6" x14ac:dyDescent="0.35">
      <c r="A36" s="19">
        <v>40</v>
      </c>
      <c r="B36" s="3" t="s">
        <v>110</v>
      </c>
      <c r="C36" s="3" t="s">
        <v>11</v>
      </c>
      <c r="D36" s="3" t="s">
        <v>104</v>
      </c>
      <c r="E36" s="3" t="s">
        <v>27</v>
      </c>
      <c r="F36" s="3" t="s">
        <v>111</v>
      </c>
      <c r="G36" s="3" t="s">
        <v>34</v>
      </c>
      <c r="H36" s="3" t="s">
        <v>46</v>
      </c>
      <c r="I36" s="3">
        <v>4168</v>
      </c>
      <c r="J36" s="3">
        <v>41</v>
      </c>
      <c r="K36" s="3">
        <v>41</v>
      </c>
      <c r="L36" s="18"/>
    </row>
    <row r="37" spans="1:12" ht="15.6" x14ac:dyDescent="0.35">
      <c r="A37" s="19">
        <v>41</v>
      </c>
      <c r="B37" s="3" t="s">
        <v>112</v>
      </c>
      <c r="C37" s="3" t="s">
        <v>11</v>
      </c>
      <c r="D37" s="3" t="s">
        <v>104</v>
      </c>
      <c r="E37" s="3" t="s">
        <v>13</v>
      </c>
      <c r="F37" s="3" t="s">
        <v>14</v>
      </c>
      <c r="G37" s="3" t="s">
        <v>14</v>
      </c>
      <c r="H37" s="3" t="s">
        <v>46</v>
      </c>
      <c r="I37" s="3">
        <v>5773</v>
      </c>
      <c r="J37" s="3">
        <v>42</v>
      </c>
      <c r="K37" s="3">
        <v>42</v>
      </c>
      <c r="L37" s="18"/>
    </row>
    <row r="38" spans="1:12" ht="15.6" x14ac:dyDescent="0.35">
      <c r="A38" s="19">
        <v>42</v>
      </c>
      <c r="B38" s="3" t="s">
        <v>113</v>
      </c>
      <c r="C38" s="3" t="s">
        <v>11</v>
      </c>
      <c r="D38" s="3" t="s">
        <v>104</v>
      </c>
      <c r="E38" s="3" t="s">
        <v>18</v>
      </c>
      <c r="F38" s="3" t="s">
        <v>19</v>
      </c>
      <c r="G38" s="3" t="s">
        <v>20</v>
      </c>
      <c r="H38" s="3" t="s">
        <v>46</v>
      </c>
      <c r="I38" s="3">
        <v>8417</v>
      </c>
      <c r="J38" s="3">
        <v>43</v>
      </c>
      <c r="K38" s="3">
        <v>43</v>
      </c>
      <c r="L38" s="18"/>
    </row>
    <row r="39" spans="1:12" ht="15.6" x14ac:dyDescent="0.35">
      <c r="A39" s="19">
        <v>43</v>
      </c>
      <c r="B39" s="3" t="s">
        <v>114</v>
      </c>
      <c r="C39" s="3" t="s">
        <v>11</v>
      </c>
      <c r="D39" s="3" t="s">
        <v>104</v>
      </c>
      <c r="E39" s="3" t="s">
        <v>23</v>
      </c>
      <c r="F39" s="3" t="s">
        <v>24</v>
      </c>
      <c r="G39" s="3" t="s">
        <v>25</v>
      </c>
      <c r="H39" s="3" t="s">
        <v>46</v>
      </c>
      <c r="I39" s="3">
        <v>4691</v>
      </c>
      <c r="J39" s="3">
        <v>44</v>
      </c>
      <c r="K39" s="3">
        <v>44</v>
      </c>
      <c r="L39" s="18"/>
    </row>
    <row r="40" spans="1:12" ht="15.6" x14ac:dyDescent="0.35">
      <c r="A40" s="19">
        <v>44</v>
      </c>
      <c r="B40" s="3" t="s">
        <v>115</v>
      </c>
      <c r="C40" s="3" t="s">
        <v>11</v>
      </c>
      <c r="D40" s="3" t="s">
        <v>104</v>
      </c>
      <c r="E40" s="3" t="s">
        <v>27</v>
      </c>
      <c r="F40" s="3" t="s">
        <v>28</v>
      </c>
      <c r="G40" s="3" t="s">
        <v>29</v>
      </c>
      <c r="H40" s="3" t="s">
        <v>46</v>
      </c>
      <c r="I40" s="3">
        <v>5945</v>
      </c>
      <c r="J40" s="3">
        <v>45</v>
      </c>
      <c r="K40" s="3">
        <v>45</v>
      </c>
      <c r="L40" s="18"/>
    </row>
    <row r="41" spans="1:12" ht="15.6" x14ac:dyDescent="0.35">
      <c r="A41" s="19">
        <v>45</v>
      </c>
      <c r="B41" s="3" t="s">
        <v>116</v>
      </c>
      <c r="C41" s="3" t="s">
        <v>11</v>
      </c>
      <c r="D41" s="3" t="s">
        <v>104</v>
      </c>
      <c r="E41" s="3" t="s">
        <v>27</v>
      </c>
      <c r="F41" s="3" t="s">
        <v>33</v>
      </c>
      <c r="G41" s="3" t="s">
        <v>34</v>
      </c>
      <c r="H41" s="3" t="s">
        <v>46</v>
      </c>
      <c r="I41" s="3">
        <v>6807</v>
      </c>
      <c r="J41" s="3">
        <v>46</v>
      </c>
      <c r="K41" s="3">
        <v>46</v>
      </c>
      <c r="L41" s="18"/>
    </row>
    <row r="42" spans="1:12" ht="15.6" x14ac:dyDescent="0.35">
      <c r="A42" s="19">
        <v>46</v>
      </c>
      <c r="B42" s="3" t="s">
        <v>117</v>
      </c>
      <c r="C42" s="3" t="s">
        <v>11</v>
      </c>
      <c r="D42" s="3" t="s">
        <v>104</v>
      </c>
      <c r="E42" s="3" t="s">
        <v>27</v>
      </c>
      <c r="F42" s="3" t="s">
        <v>36</v>
      </c>
      <c r="G42" s="3" t="s">
        <v>37</v>
      </c>
      <c r="H42" s="3" t="s">
        <v>15</v>
      </c>
      <c r="I42" s="3">
        <v>3546</v>
      </c>
      <c r="J42" s="3">
        <v>47</v>
      </c>
      <c r="K42" s="3">
        <v>47</v>
      </c>
      <c r="L42" s="18"/>
    </row>
    <row r="43" spans="1:12" ht="15.6" x14ac:dyDescent="0.35">
      <c r="A43" s="19">
        <v>47</v>
      </c>
      <c r="B43" s="3" t="s">
        <v>118</v>
      </c>
      <c r="C43" s="3" t="s">
        <v>11</v>
      </c>
      <c r="D43" s="3" t="s">
        <v>104</v>
      </c>
      <c r="E43" s="3" t="s">
        <v>18</v>
      </c>
      <c r="F43" s="3" t="s">
        <v>39</v>
      </c>
      <c r="G43" s="3" t="s">
        <v>40</v>
      </c>
      <c r="H43" s="3" t="s">
        <v>15</v>
      </c>
      <c r="I43" s="3">
        <v>9463</v>
      </c>
      <c r="J43" s="3">
        <v>48</v>
      </c>
      <c r="K43" s="3">
        <v>48</v>
      </c>
      <c r="L43" s="18"/>
    </row>
    <row r="44" spans="1:12" ht="15.6" x14ac:dyDescent="0.35">
      <c r="A44" s="19">
        <v>48</v>
      </c>
      <c r="B44" s="3" t="s">
        <v>119</v>
      </c>
      <c r="C44" s="3" t="s">
        <v>11</v>
      </c>
      <c r="D44" s="3" t="s">
        <v>104</v>
      </c>
      <c r="E44" s="3" t="s">
        <v>18</v>
      </c>
      <c r="F44" s="3" t="s">
        <v>42</v>
      </c>
      <c r="G44" s="3" t="s">
        <v>20</v>
      </c>
      <c r="H44" s="3" t="s">
        <v>15</v>
      </c>
      <c r="I44" s="3">
        <v>9927</v>
      </c>
      <c r="J44" s="3">
        <v>49</v>
      </c>
      <c r="K44" s="3">
        <v>49</v>
      </c>
      <c r="L44" s="18"/>
    </row>
    <row r="45" spans="1:12" ht="15.6" x14ac:dyDescent="0.35">
      <c r="A45" s="19">
        <v>49</v>
      </c>
      <c r="B45" s="3" t="s">
        <v>120</v>
      </c>
      <c r="C45" s="3" t="s">
        <v>31</v>
      </c>
      <c r="D45" s="3" t="s">
        <v>121</v>
      </c>
      <c r="E45" s="3" t="s">
        <v>13</v>
      </c>
      <c r="F45" s="3" t="s">
        <v>44</v>
      </c>
      <c r="G45" s="3" t="s">
        <v>45</v>
      </c>
      <c r="H45" s="3" t="s">
        <v>15</v>
      </c>
      <c r="I45" s="3">
        <v>1666</v>
      </c>
      <c r="J45" s="3">
        <v>50</v>
      </c>
      <c r="K45" s="3">
        <v>50</v>
      </c>
      <c r="L45" s="18"/>
    </row>
    <row r="46" spans="1:12" ht="15.6" x14ac:dyDescent="0.35">
      <c r="A46" s="19">
        <v>50</v>
      </c>
      <c r="B46" s="3" t="s">
        <v>122</v>
      </c>
      <c r="C46" s="3" t="s">
        <v>31</v>
      </c>
      <c r="D46" s="3" t="s">
        <v>121</v>
      </c>
      <c r="E46" s="3" t="s">
        <v>18</v>
      </c>
      <c r="F46" s="3" t="s">
        <v>48</v>
      </c>
      <c r="G46" s="3" t="s">
        <v>40</v>
      </c>
      <c r="H46" s="3" t="s">
        <v>15</v>
      </c>
      <c r="I46" s="3">
        <v>9392</v>
      </c>
      <c r="J46" s="3">
        <v>51</v>
      </c>
      <c r="K46" s="3">
        <v>51</v>
      </c>
      <c r="L46" s="18"/>
    </row>
    <row r="47" spans="1:12" ht="15.6" x14ac:dyDescent="0.35">
      <c r="A47" s="19">
        <v>51</v>
      </c>
      <c r="B47" s="3" t="s">
        <v>123</v>
      </c>
      <c r="C47" s="3" t="s">
        <v>31</v>
      </c>
      <c r="D47" s="3" t="s">
        <v>121</v>
      </c>
      <c r="E47" s="3" t="s">
        <v>13</v>
      </c>
      <c r="F47" s="3" t="s">
        <v>50</v>
      </c>
      <c r="G47" s="3" t="s">
        <v>51</v>
      </c>
      <c r="H47" s="3" t="s">
        <v>46</v>
      </c>
      <c r="I47" s="3">
        <v>7124</v>
      </c>
      <c r="J47" s="3">
        <v>52</v>
      </c>
      <c r="K47" s="3">
        <v>52</v>
      </c>
      <c r="L47" s="18"/>
    </row>
    <row r="48" spans="1:12" ht="15.6" x14ac:dyDescent="0.35">
      <c r="A48" s="19">
        <v>52</v>
      </c>
      <c r="B48" s="3" t="s">
        <v>124</v>
      </c>
      <c r="C48" s="3" t="s">
        <v>31</v>
      </c>
      <c r="D48" s="3" t="s">
        <v>121</v>
      </c>
      <c r="E48" s="3" t="s">
        <v>13</v>
      </c>
      <c r="F48" s="3" t="s">
        <v>53</v>
      </c>
      <c r="G48" s="3" t="s">
        <v>51</v>
      </c>
      <c r="H48" s="3" t="s">
        <v>46</v>
      </c>
      <c r="I48" s="3">
        <v>9636</v>
      </c>
      <c r="J48" s="3">
        <v>53</v>
      </c>
      <c r="K48" s="3">
        <v>53</v>
      </c>
      <c r="L48" s="18"/>
    </row>
    <row r="49" spans="1:12" ht="15.6" x14ac:dyDescent="0.35">
      <c r="A49" s="19">
        <v>53</v>
      </c>
      <c r="B49" s="3" t="s">
        <v>125</v>
      </c>
      <c r="C49" s="3" t="s">
        <v>31</v>
      </c>
      <c r="D49" s="3" t="s">
        <v>121</v>
      </c>
      <c r="E49" s="3" t="s">
        <v>18</v>
      </c>
      <c r="F49" s="3" t="s">
        <v>56</v>
      </c>
      <c r="G49" s="3" t="s">
        <v>20</v>
      </c>
      <c r="H49" s="3" t="s">
        <v>46</v>
      </c>
      <c r="I49" s="3">
        <v>6596</v>
      </c>
      <c r="J49" s="3">
        <v>54</v>
      </c>
      <c r="K49" s="3">
        <v>54</v>
      </c>
      <c r="L49" s="18"/>
    </row>
    <row r="50" spans="1:12" ht="15.6" x14ac:dyDescent="0.35">
      <c r="A50" s="19">
        <v>54</v>
      </c>
      <c r="B50" s="3" t="s">
        <v>126</v>
      </c>
      <c r="C50" s="3" t="s">
        <v>31</v>
      </c>
      <c r="D50" s="3" t="s">
        <v>121</v>
      </c>
      <c r="E50" s="3" t="s">
        <v>58</v>
      </c>
      <c r="F50" s="3" t="s">
        <v>59</v>
      </c>
      <c r="G50" s="3" t="s">
        <v>60</v>
      </c>
      <c r="H50" s="3" t="s">
        <v>46</v>
      </c>
      <c r="I50" s="3">
        <v>6338</v>
      </c>
      <c r="J50" s="3">
        <v>55</v>
      </c>
      <c r="K50" s="3">
        <v>55</v>
      </c>
      <c r="L50" s="18"/>
    </row>
    <row r="51" spans="1:12" ht="15.6" x14ac:dyDescent="0.35">
      <c r="A51" s="19">
        <v>55</v>
      </c>
      <c r="B51" s="3" t="s">
        <v>127</v>
      </c>
      <c r="C51" s="3" t="s">
        <v>31</v>
      </c>
      <c r="D51" s="3" t="s">
        <v>121</v>
      </c>
      <c r="E51" s="3" t="s">
        <v>18</v>
      </c>
      <c r="F51" s="3" t="s">
        <v>128</v>
      </c>
      <c r="G51" s="3" t="s">
        <v>20</v>
      </c>
      <c r="H51" s="3" t="s">
        <v>46</v>
      </c>
      <c r="I51" s="3">
        <v>8446</v>
      </c>
      <c r="J51" s="3">
        <v>56</v>
      </c>
      <c r="K51" s="3">
        <v>56</v>
      </c>
      <c r="L51" s="18"/>
    </row>
    <row r="52" spans="1:12" ht="15.6" x14ac:dyDescent="0.35">
      <c r="A52" s="19">
        <v>56</v>
      </c>
      <c r="B52" s="3" t="s">
        <v>129</v>
      </c>
      <c r="C52" s="3" t="s">
        <v>31</v>
      </c>
      <c r="D52" s="3" t="s">
        <v>121</v>
      </c>
      <c r="E52" s="3" t="s">
        <v>130</v>
      </c>
      <c r="F52" s="3" t="s">
        <v>131</v>
      </c>
      <c r="G52" s="3" t="s">
        <v>131</v>
      </c>
      <c r="H52" s="3" t="s">
        <v>46</v>
      </c>
      <c r="I52" s="3">
        <v>9102</v>
      </c>
      <c r="J52" s="3">
        <v>57</v>
      </c>
      <c r="K52" s="3">
        <v>57</v>
      </c>
      <c r="L52" s="18"/>
    </row>
    <row r="53" spans="1:12" ht="15.6" x14ac:dyDescent="0.35">
      <c r="A53" s="19">
        <v>57</v>
      </c>
      <c r="B53" s="3" t="s">
        <v>132</v>
      </c>
      <c r="C53" s="3" t="s">
        <v>31</v>
      </c>
      <c r="D53" s="3" t="s">
        <v>121</v>
      </c>
      <c r="E53" s="3" t="s">
        <v>58</v>
      </c>
      <c r="F53" s="3" t="s">
        <v>133</v>
      </c>
      <c r="G53" s="3" t="s">
        <v>60</v>
      </c>
      <c r="H53" s="3" t="s">
        <v>46</v>
      </c>
      <c r="I53" s="3">
        <v>3887</v>
      </c>
      <c r="J53" s="3">
        <v>58</v>
      </c>
      <c r="K53" s="3">
        <v>58</v>
      </c>
      <c r="L53" s="18"/>
    </row>
    <row r="54" spans="1:12" ht="15.6" x14ac:dyDescent="0.35">
      <c r="A54" s="19">
        <v>58</v>
      </c>
      <c r="B54" s="3" t="s">
        <v>134</v>
      </c>
      <c r="C54" s="3" t="s">
        <v>31</v>
      </c>
      <c r="D54" s="3" t="s">
        <v>121</v>
      </c>
      <c r="E54" s="3" t="s">
        <v>27</v>
      </c>
      <c r="F54" s="3" t="s">
        <v>135</v>
      </c>
      <c r="G54" s="3" t="s">
        <v>136</v>
      </c>
      <c r="H54" s="3" t="s">
        <v>15</v>
      </c>
      <c r="I54" s="3">
        <v>9519</v>
      </c>
      <c r="J54" s="3">
        <v>59</v>
      </c>
      <c r="K54" s="3">
        <v>59</v>
      </c>
      <c r="L54" s="18"/>
    </row>
    <row r="55" spans="1:12" ht="15.6" x14ac:dyDescent="0.35">
      <c r="A55" s="19">
        <v>59</v>
      </c>
      <c r="B55" s="3" t="s">
        <v>137</v>
      </c>
      <c r="C55" s="3" t="s">
        <v>31</v>
      </c>
      <c r="D55" s="3" t="s">
        <v>121</v>
      </c>
      <c r="E55" s="3" t="s">
        <v>23</v>
      </c>
      <c r="F55" s="3" t="s">
        <v>138</v>
      </c>
      <c r="G55" s="3" t="s">
        <v>139</v>
      </c>
      <c r="H55" s="3" t="s">
        <v>15</v>
      </c>
      <c r="I55" s="3">
        <v>8983</v>
      </c>
      <c r="J55" s="3">
        <v>60</v>
      </c>
      <c r="K55" s="3">
        <v>60</v>
      </c>
      <c r="L55" s="18"/>
    </row>
    <row r="56" spans="1:12" ht="15.6" x14ac:dyDescent="0.35">
      <c r="A56" s="19">
        <v>60</v>
      </c>
      <c r="B56" s="3" t="s">
        <v>140</v>
      </c>
      <c r="C56" s="3" t="s">
        <v>31</v>
      </c>
      <c r="D56" s="3" t="s">
        <v>121</v>
      </c>
      <c r="E56" s="3" t="s">
        <v>18</v>
      </c>
      <c r="F56" s="3" t="s">
        <v>63</v>
      </c>
      <c r="G56" s="3" t="s">
        <v>40</v>
      </c>
      <c r="H56" s="3" t="s">
        <v>15</v>
      </c>
      <c r="I56" s="3">
        <v>6892</v>
      </c>
      <c r="J56" s="3">
        <v>61</v>
      </c>
      <c r="K56" s="3">
        <v>61</v>
      </c>
      <c r="L56" s="18"/>
    </row>
    <row r="57" spans="1:12" ht="15.6" x14ac:dyDescent="0.35">
      <c r="A57" s="19">
        <v>61</v>
      </c>
      <c r="B57" s="3" t="s">
        <v>141</v>
      </c>
      <c r="C57" s="3" t="s">
        <v>31</v>
      </c>
      <c r="D57" s="3" t="s">
        <v>142</v>
      </c>
      <c r="E57" s="3" t="s">
        <v>13</v>
      </c>
      <c r="F57" s="3" t="s">
        <v>65</v>
      </c>
      <c r="G57" s="3" t="s">
        <v>51</v>
      </c>
      <c r="H57" s="3" t="s">
        <v>15</v>
      </c>
      <c r="I57" s="3">
        <v>6946</v>
      </c>
      <c r="J57" s="3">
        <v>62</v>
      </c>
      <c r="K57" s="3">
        <v>62</v>
      </c>
      <c r="L57" s="18"/>
    </row>
    <row r="58" spans="1:12" ht="15.6" x14ac:dyDescent="0.35">
      <c r="A58" s="19">
        <v>62</v>
      </c>
      <c r="B58" s="3" t="s">
        <v>143</v>
      </c>
      <c r="C58" s="3" t="s">
        <v>31</v>
      </c>
      <c r="D58" s="3" t="s">
        <v>142</v>
      </c>
      <c r="E58" s="3" t="s">
        <v>13</v>
      </c>
      <c r="F58" s="3" t="s">
        <v>68</v>
      </c>
      <c r="G58" s="3" t="s">
        <v>51</v>
      </c>
      <c r="H58" s="3" t="s">
        <v>46</v>
      </c>
      <c r="I58" s="3">
        <v>8990</v>
      </c>
      <c r="J58" s="3">
        <v>63</v>
      </c>
      <c r="K58" s="3">
        <v>63</v>
      </c>
      <c r="L58" s="18"/>
    </row>
    <row r="59" spans="1:12" ht="15.6" x14ac:dyDescent="0.35">
      <c r="A59" s="19">
        <v>63</v>
      </c>
      <c r="B59" s="3" t="s">
        <v>144</v>
      </c>
      <c r="C59" s="3" t="s">
        <v>31</v>
      </c>
      <c r="D59" s="3" t="s">
        <v>142</v>
      </c>
      <c r="E59" s="3" t="s">
        <v>27</v>
      </c>
      <c r="F59" s="3" t="s">
        <v>70</v>
      </c>
      <c r="G59" s="3" t="s">
        <v>29</v>
      </c>
      <c r="H59" s="3" t="s">
        <v>15</v>
      </c>
      <c r="I59" s="3">
        <v>5594</v>
      </c>
      <c r="J59" s="3">
        <v>64</v>
      </c>
      <c r="K59" s="3">
        <v>64</v>
      </c>
      <c r="L59" s="18"/>
    </row>
    <row r="60" spans="1:12" ht="15.6" x14ac:dyDescent="0.35">
      <c r="A60" s="19">
        <v>64</v>
      </c>
      <c r="B60" s="3" t="s">
        <v>145</v>
      </c>
      <c r="C60" s="3" t="s">
        <v>31</v>
      </c>
      <c r="D60" s="3" t="s">
        <v>142</v>
      </c>
      <c r="E60" s="3" t="s">
        <v>27</v>
      </c>
      <c r="F60" s="3" t="s">
        <v>72</v>
      </c>
      <c r="G60" s="3" t="s">
        <v>29</v>
      </c>
      <c r="H60" s="3" t="s">
        <v>15</v>
      </c>
      <c r="I60" s="3">
        <v>5491</v>
      </c>
      <c r="J60" s="3">
        <v>65</v>
      </c>
      <c r="K60" s="3">
        <v>65</v>
      </c>
      <c r="L60" s="18"/>
    </row>
    <row r="61" spans="1:12" ht="15.6" x14ac:dyDescent="0.35">
      <c r="A61" s="19">
        <v>65</v>
      </c>
      <c r="B61" s="3" t="s">
        <v>146</v>
      </c>
      <c r="C61" s="3" t="s">
        <v>31</v>
      </c>
      <c r="D61" s="3" t="s">
        <v>142</v>
      </c>
      <c r="E61" s="3" t="s">
        <v>13</v>
      </c>
      <c r="F61" s="3" t="s">
        <v>74</v>
      </c>
      <c r="G61" s="3" t="s">
        <v>45</v>
      </c>
      <c r="H61" s="3" t="s">
        <v>15</v>
      </c>
      <c r="I61" s="3">
        <v>7225</v>
      </c>
      <c r="J61" s="3">
        <v>66</v>
      </c>
      <c r="K61" s="3">
        <v>66</v>
      </c>
      <c r="L61" s="18"/>
    </row>
    <row r="62" spans="1:12" ht="15.6" x14ac:dyDescent="0.35">
      <c r="A62" s="19">
        <v>66</v>
      </c>
      <c r="B62" s="3" t="s">
        <v>147</v>
      </c>
      <c r="C62" s="3" t="s">
        <v>31</v>
      </c>
      <c r="D62" s="3" t="s">
        <v>142</v>
      </c>
      <c r="E62" s="3" t="s">
        <v>13</v>
      </c>
      <c r="F62" s="3" t="s">
        <v>76</v>
      </c>
      <c r="G62" s="3" t="s">
        <v>51</v>
      </c>
      <c r="H62" s="3" t="s">
        <v>15</v>
      </c>
      <c r="I62" s="3">
        <v>2966</v>
      </c>
      <c r="J62" s="3">
        <v>67</v>
      </c>
      <c r="K62" s="3">
        <v>67</v>
      </c>
      <c r="L62" s="18"/>
    </row>
    <row r="63" spans="1:12" ht="15.6" x14ac:dyDescent="0.35">
      <c r="A63" s="19">
        <v>67</v>
      </c>
      <c r="B63" s="3" t="s">
        <v>148</v>
      </c>
      <c r="C63" s="3" t="s">
        <v>31</v>
      </c>
      <c r="D63" s="3" t="s">
        <v>142</v>
      </c>
      <c r="E63" s="3" t="s">
        <v>23</v>
      </c>
      <c r="F63" s="3" t="s">
        <v>78</v>
      </c>
      <c r="G63" s="3" t="s">
        <v>79</v>
      </c>
      <c r="H63" s="3" t="s">
        <v>46</v>
      </c>
      <c r="I63" s="3">
        <v>2421</v>
      </c>
      <c r="J63" s="3">
        <v>68</v>
      </c>
      <c r="K63" s="3">
        <v>68</v>
      </c>
      <c r="L63" s="18"/>
    </row>
    <row r="64" spans="1:12" ht="15.6" x14ac:dyDescent="0.35">
      <c r="A64" s="19">
        <v>68</v>
      </c>
      <c r="B64" s="3" t="s">
        <v>149</v>
      </c>
      <c r="C64" s="3" t="s">
        <v>31</v>
      </c>
      <c r="D64" s="3" t="s">
        <v>142</v>
      </c>
      <c r="E64" s="3" t="s">
        <v>27</v>
      </c>
      <c r="F64" s="3" t="s">
        <v>81</v>
      </c>
      <c r="G64" s="3" t="s">
        <v>150</v>
      </c>
      <c r="H64" s="3" t="s">
        <v>46</v>
      </c>
      <c r="I64" s="3">
        <v>8893</v>
      </c>
      <c r="J64" s="3">
        <v>69</v>
      </c>
      <c r="K64" s="3">
        <v>69</v>
      </c>
      <c r="L64" s="18"/>
    </row>
    <row r="65" spans="1:12" ht="15.6" x14ac:dyDescent="0.35">
      <c r="A65" s="19">
        <v>69</v>
      </c>
      <c r="B65" s="3" t="s">
        <v>151</v>
      </c>
      <c r="C65" s="3" t="s">
        <v>31</v>
      </c>
      <c r="D65" s="3" t="s">
        <v>142</v>
      </c>
      <c r="E65" s="3" t="s">
        <v>18</v>
      </c>
      <c r="F65" s="3" t="s">
        <v>83</v>
      </c>
      <c r="G65" s="3" t="s">
        <v>20</v>
      </c>
      <c r="H65" s="3" t="s">
        <v>46</v>
      </c>
      <c r="I65" s="3">
        <v>4938</v>
      </c>
      <c r="J65" s="3">
        <v>70</v>
      </c>
      <c r="K65" s="3">
        <v>70</v>
      </c>
      <c r="L65" s="18"/>
    </row>
    <row r="66" spans="1:12" ht="15.6" x14ac:dyDescent="0.35">
      <c r="A66" s="19">
        <v>70</v>
      </c>
      <c r="B66" s="3" t="s">
        <v>152</v>
      </c>
      <c r="C66" s="3" t="s">
        <v>31</v>
      </c>
      <c r="D66" s="3" t="s">
        <v>142</v>
      </c>
      <c r="E66" s="3" t="s">
        <v>13</v>
      </c>
      <c r="F66" s="3" t="s">
        <v>85</v>
      </c>
      <c r="G66" s="3" t="s">
        <v>86</v>
      </c>
      <c r="H66" s="3" t="s">
        <v>46</v>
      </c>
      <c r="I66" s="3">
        <v>4836</v>
      </c>
      <c r="J66" s="3">
        <v>71</v>
      </c>
      <c r="K66" s="3">
        <v>71</v>
      </c>
      <c r="L66" s="18"/>
    </row>
    <row r="67" spans="1:12" ht="15.6" x14ac:dyDescent="0.35">
      <c r="A67" s="19">
        <v>71</v>
      </c>
      <c r="B67" s="3" t="s">
        <v>153</v>
      </c>
      <c r="C67" s="3" t="s">
        <v>31</v>
      </c>
      <c r="D67" s="3" t="s">
        <v>142</v>
      </c>
      <c r="E67" s="3" t="s">
        <v>13</v>
      </c>
      <c r="F67" s="3" t="s">
        <v>88</v>
      </c>
      <c r="G67" s="3" t="s">
        <v>89</v>
      </c>
      <c r="H67" s="3" t="s">
        <v>46</v>
      </c>
      <c r="I67" s="3">
        <v>3490</v>
      </c>
      <c r="J67" s="3">
        <v>72</v>
      </c>
      <c r="K67" s="3">
        <v>72</v>
      </c>
      <c r="L67" s="18"/>
    </row>
    <row r="68" spans="1:12" ht="15.6" x14ac:dyDescent="0.35">
      <c r="A68" s="19">
        <v>72</v>
      </c>
      <c r="B68" s="3" t="s">
        <v>154</v>
      </c>
      <c r="C68" s="3" t="s">
        <v>155</v>
      </c>
      <c r="D68" s="3" t="s">
        <v>17</v>
      </c>
      <c r="E68" s="3" t="s">
        <v>91</v>
      </c>
      <c r="F68" s="3" t="s">
        <v>92</v>
      </c>
      <c r="G68" s="3" t="s">
        <v>93</v>
      </c>
      <c r="H68" s="3" t="s">
        <v>46</v>
      </c>
      <c r="I68" s="3">
        <v>1921</v>
      </c>
      <c r="J68" s="3">
        <v>73</v>
      </c>
      <c r="K68" s="3">
        <v>73</v>
      </c>
      <c r="L68" s="18"/>
    </row>
    <row r="69" spans="1:12" ht="15.6" x14ac:dyDescent="0.35">
      <c r="A69" s="19">
        <v>73</v>
      </c>
      <c r="B69" s="3" t="s">
        <v>156</v>
      </c>
      <c r="C69" s="3" t="s">
        <v>155</v>
      </c>
      <c r="D69" s="3" t="s">
        <v>17</v>
      </c>
      <c r="E69" s="3" t="s">
        <v>13</v>
      </c>
      <c r="F69" s="3" t="s">
        <v>95</v>
      </c>
      <c r="G69" s="3" t="s">
        <v>96</v>
      </c>
      <c r="H69" s="3" t="s">
        <v>46</v>
      </c>
      <c r="I69" s="3">
        <v>5036</v>
      </c>
      <c r="J69" s="3">
        <v>74</v>
      </c>
      <c r="K69" s="3">
        <v>74</v>
      </c>
      <c r="L69" s="18"/>
    </row>
    <row r="70" spans="1:12" ht="15.6" x14ac:dyDescent="0.35">
      <c r="A70" s="19">
        <v>74</v>
      </c>
      <c r="B70" s="3" t="s">
        <v>157</v>
      </c>
      <c r="C70" s="3" t="s">
        <v>155</v>
      </c>
      <c r="D70" s="3" t="s">
        <v>17</v>
      </c>
      <c r="E70" s="3" t="s">
        <v>58</v>
      </c>
      <c r="F70" s="3" t="s">
        <v>98</v>
      </c>
      <c r="G70" s="3" t="s">
        <v>99</v>
      </c>
      <c r="H70" s="3" t="s">
        <v>46</v>
      </c>
      <c r="I70" s="3">
        <v>6124</v>
      </c>
      <c r="J70" s="3">
        <v>75</v>
      </c>
      <c r="K70" s="3">
        <v>75</v>
      </c>
      <c r="L70" s="18"/>
    </row>
    <row r="71" spans="1:12" ht="15.6" x14ac:dyDescent="0.35">
      <c r="A71" s="19">
        <v>75</v>
      </c>
      <c r="B71" s="3" t="s">
        <v>158</v>
      </c>
      <c r="C71" s="3" t="s">
        <v>155</v>
      </c>
      <c r="D71" s="3" t="s">
        <v>17</v>
      </c>
      <c r="E71" s="3" t="s">
        <v>23</v>
      </c>
      <c r="F71" s="3" t="s">
        <v>101</v>
      </c>
      <c r="G71" s="3" t="s">
        <v>25</v>
      </c>
      <c r="H71" s="3" t="s">
        <v>46</v>
      </c>
      <c r="I71" s="3">
        <v>6233</v>
      </c>
      <c r="J71" s="3">
        <v>76</v>
      </c>
      <c r="K71" s="3">
        <v>76</v>
      </c>
      <c r="L71" s="18"/>
    </row>
    <row r="72" spans="1:12" ht="15.6" x14ac:dyDescent="0.35">
      <c r="A72" s="19">
        <v>76</v>
      </c>
      <c r="B72" s="3" t="s">
        <v>159</v>
      </c>
      <c r="C72" s="3" t="s">
        <v>155</v>
      </c>
      <c r="D72" s="3" t="s">
        <v>17</v>
      </c>
      <c r="E72" s="3" t="s">
        <v>23</v>
      </c>
      <c r="F72" s="3" t="s">
        <v>24</v>
      </c>
      <c r="G72" s="3" t="s">
        <v>25</v>
      </c>
      <c r="H72" s="3" t="s">
        <v>46</v>
      </c>
      <c r="I72" s="3">
        <v>9156</v>
      </c>
      <c r="J72" s="3">
        <v>77</v>
      </c>
      <c r="K72" s="3">
        <v>77</v>
      </c>
      <c r="L72" s="18"/>
    </row>
    <row r="73" spans="1:12" ht="15.6" x14ac:dyDescent="0.35">
      <c r="A73" s="19">
        <v>77</v>
      </c>
      <c r="B73" s="3" t="s">
        <v>160</v>
      </c>
      <c r="C73" s="3" t="s">
        <v>155</v>
      </c>
      <c r="D73" s="3" t="s">
        <v>17</v>
      </c>
      <c r="E73" s="3" t="s">
        <v>58</v>
      </c>
      <c r="F73" s="3" t="s">
        <v>105</v>
      </c>
      <c r="G73" s="3" t="s">
        <v>60</v>
      </c>
      <c r="H73" s="3" t="s">
        <v>15</v>
      </c>
      <c r="I73" s="3">
        <v>3687</v>
      </c>
      <c r="J73" s="3">
        <v>78</v>
      </c>
      <c r="K73" s="3">
        <v>78</v>
      </c>
      <c r="L73" s="18"/>
    </row>
    <row r="74" spans="1:12" ht="15.6" x14ac:dyDescent="0.35">
      <c r="A74" s="19">
        <v>78</v>
      </c>
      <c r="B74" s="3" t="s">
        <v>161</v>
      </c>
      <c r="C74" s="3" t="s">
        <v>155</v>
      </c>
      <c r="D74" s="3" t="s">
        <v>17</v>
      </c>
      <c r="E74" s="3" t="s">
        <v>23</v>
      </c>
      <c r="F74" s="3" t="s">
        <v>107</v>
      </c>
      <c r="G74" s="3" t="s">
        <v>79</v>
      </c>
      <c r="H74" s="3" t="s">
        <v>15</v>
      </c>
      <c r="I74" s="3">
        <v>3165</v>
      </c>
      <c r="J74" s="3">
        <v>79</v>
      </c>
      <c r="K74" s="3">
        <v>79</v>
      </c>
      <c r="L74" s="18"/>
    </row>
    <row r="75" spans="1:12" ht="15.6" x14ac:dyDescent="0.35">
      <c r="A75" s="19">
        <v>79</v>
      </c>
      <c r="B75" s="3" t="s">
        <v>162</v>
      </c>
      <c r="C75" s="3" t="s">
        <v>31</v>
      </c>
      <c r="D75" s="3" t="s">
        <v>121</v>
      </c>
      <c r="E75" s="3" t="s">
        <v>23</v>
      </c>
      <c r="F75" s="3" t="s">
        <v>109</v>
      </c>
      <c r="G75" s="3" t="s">
        <v>25</v>
      </c>
      <c r="H75" s="3" t="s">
        <v>15</v>
      </c>
      <c r="I75" s="3">
        <v>1580</v>
      </c>
      <c r="J75" s="3">
        <v>80</v>
      </c>
      <c r="K75" s="3">
        <v>80</v>
      </c>
      <c r="L75" s="18"/>
    </row>
    <row r="76" spans="1:12" ht="15.6" x14ac:dyDescent="0.35">
      <c r="A76" s="19">
        <v>80</v>
      </c>
      <c r="B76" s="3" t="s">
        <v>163</v>
      </c>
      <c r="C76" s="3" t="s">
        <v>31</v>
      </c>
      <c r="D76" s="3" t="s">
        <v>121</v>
      </c>
      <c r="E76" s="3" t="s">
        <v>27</v>
      </c>
      <c r="F76" s="3" t="s">
        <v>111</v>
      </c>
      <c r="G76" s="3" t="s">
        <v>34</v>
      </c>
      <c r="H76" s="3" t="s">
        <v>15</v>
      </c>
      <c r="I76" s="3">
        <v>5627</v>
      </c>
      <c r="J76" s="3">
        <v>81</v>
      </c>
      <c r="K76" s="3">
        <v>81</v>
      </c>
      <c r="L76" s="18"/>
    </row>
    <row r="77" spans="1:12" ht="15.6" x14ac:dyDescent="0.35">
      <c r="A77" s="19">
        <v>81</v>
      </c>
      <c r="B77" s="3" t="s">
        <v>164</v>
      </c>
      <c r="C77" s="3" t="s">
        <v>31</v>
      </c>
      <c r="D77" s="3" t="s">
        <v>121</v>
      </c>
      <c r="E77" s="3" t="s">
        <v>13</v>
      </c>
      <c r="F77" s="3" t="s">
        <v>14</v>
      </c>
      <c r="G77" s="3" t="s">
        <v>14</v>
      </c>
      <c r="H77" s="3" t="s">
        <v>15</v>
      </c>
      <c r="I77" s="3">
        <v>3396</v>
      </c>
      <c r="J77" s="3">
        <v>82</v>
      </c>
      <c r="K77" s="3">
        <v>82</v>
      </c>
      <c r="L77" s="18"/>
    </row>
    <row r="78" spans="1:12" ht="15.6" x14ac:dyDescent="0.35">
      <c r="A78" s="19">
        <v>82</v>
      </c>
      <c r="B78" s="3" t="s">
        <v>165</v>
      </c>
      <c r="C78" s="3" t="s">
        <v>31</v>
      </c>
      <c r="D78" s="3" t="s">
        <v>121</v>
      </c>
      <c r="E78" s="3" t="s">
        <v>18</v>
      </c>
      <c r="F78" s="3" t="s">
        <v>19</v>
      </c>
      <c r="G78" s="3" t="s">
        <v>20</v>
      </c>
      <c r="H78" s="3" t="s">
        <v>46</v>
      </c>
      <c r="I78" s="3">
        <v>7609</v>
      </c>
      <c r="J78" s="3">
        <v>83</v>
      </c>
      <c r="K78" s="3">
        <v>83</v>
      </c>
      <c r="L78" s="18"/>
    </row>
    <row r="79" spans="1:12" ht="15.6" x14ac:dyDescent="0.35">
      <c r="A79" s="19">
        <v>83</v>
      </c>
      <c r="B79" s="3" t="s">
        <v>166</v>
      </c>
      <c r="C79" s="3" t="s">
        <v>31</v>
      </c>
      <c r="D79" s="3" t="s">
        <v>121</v>
      </c>
      <c r="E79" s="3" t="s">
        <v>23</v>
      </c>
      <c r="F79" s="3" t="s">
        <v>24</v>
      </c>
      <c r="G79" s="3" t="s">
        <v>25</v>
      </c>
      <c r="H79" s="3" t="s">
        <v>46</v>
      </c>
      <c r="I79" s="3">
        <v>2460</v>
      </c>
      <c r="J79" s="3">
        <v>84</v>
      </c>
      <c r="K79" s="3">
        <v>84</v>
      </c>
      <c r="L79" s="18"/>
    </row>
    <row r="80" spans="1:12" ht="15.6" x14ac:dyDescent="0.35">
      <c r="A80" s="19">
        <v>84</v>
      </c>
      <c r="B80" s="3" t="s">
        <v>167</v>
      </c>
      <c r="C80" s="3" t="s">
        <v>31</v>
      </c>
      <c r="D80" s="3" t="s">
        <v>142</v>
      </c>
      <c r="E80" s="3" t="s">
        <v>27</v>
      </c>
      <c r="F80" s="3" t="s">
        <v>28</v>
      </c>
      <c r="G80" s="3" t="s">
        <v>29</v>
      </c>
      <c r="H80" s="3" t="s">
        <v>46</v>
      </c>
      <c r="I80" s="3">
        <v>8048</v>
      </c>
      <c r="J80" s="3">
        <v>85</v>
      </c>
      <c r="K80" s="3">
        <v>85</v>
      </c>
      <c r="L80" s="18"/>
    </row>
    <row r="81" spans="1:12" ht="15.6" x14ac:dyDescent="0.35">
      <c r="A81" s="19">
        <v>85</v>
      </c>
      <c r="B81" s="3" t="s">
        <v>168</v>
      </c>
      <c r="C81" s="3" t="s">
        <v>31</v>
      </c>
      <c r="D81" s="3" t="s">
        <v>142</v>
      </c>
      <c r="E81" s="3" t="s">
        <v>27</v>
      </c>
      <c r="F81" s="3" t="s">
        <v>33</v>
      </c>
      <c r="G81" s="3" t="s">
        <v>34</v>
      </c>
      <c r="H81" s="3" t="s">
        <v>15</v>
      </c>
      <c r="I81" s="3">
        <v>6821</v>
      </c>
      <c r="J81" s="3">
        <v>86</v>
      </c>
      <c r="K81" s="3">
        <v>86</v>
      </c>
      <c r="L81" s="18"/>
    </row>
    <row r="82" spans="1:12" ht="15.6" x14ac:dyDescent="0.35">
      <c r="A82" s="19">
        <v>86</v>
      </c>
      <c r="B82" s="3" t="s">
        <v>169</v>
      </c>
      <c r="C82" s="3" t="s">
        <v>31</v>
      </c>
      <c r="D82" s="3" t="s">
        <v>142</v>
      </c>
      <c r="E82" s="3" t="s">
        <v>27</v>
      </c>
      <c r="F82" s="3" t="s">
        <v>36</v>
      </c>
      <c r="G82" s="3" t="s">
        <v>37</v>
      </c>
      <c r="H82" s="3" t="s">
        <v>15</v>
      </c>
      <c r="I82" s="3">
        <v>1898</v>
      </c>
      <c r="J82" s="3">
        <v>87</v>
      </c>
      <c r="K82" s="3">
        <v>87</v>
      </c>
      <c r="L82" s="18"/>
    </row>
    <row r="83" spans="1:12" ht="15.6" x14ac:dyDescent="0.35">
      <c r="A83" s="19">
        <v>87</v>
      </c>
      <c r="B83" s="3" t="s">
        <v>170</v>
      </c>
      <c r="C83" s="3" t="s">
        <v>31</v>
      </c>
      <c r="D83" s="3" t="s">
        <v>142</v>
      </c>
      <c r="E83" s="3" t="s">
        <v>18</v>
      </c>
      <c r="F83" s="3" t="s">
        <v>39</v>
      </c>
      <c r="G83" s="3" t="s">
        <v>40</v>
      </c>
      <c r="H83" s="3" t="s">
        <v>15</v>
      </c>
      <c r="I83" s="3">
        <v>8320</v>
      </c>
      <c r="J83" s="3">
        <v>88</v>
      </c>
      <c r="K83" s="3">
        <v>88</v>
      </c>
      <c r="L83" s="18"/>
    </row>
    <row r="84" spans="1:12" ht="15.6" x14ac:dyDescent="0.35">
      <c r="A84" s="19">
        <v>88</v>
      </c>
      <c r="B84" s="3" t="s">
        <v>171</v>
      </c>
      <c r="C84" s="3" t="s">
        <v>31</v>
      </c>
      <c r="D84" s="3" t="s">
        <v>142</v>
      </c>
      <c r="E84" s="3" t="s">
        <v>18</v>
      </c>
      <c r="F84" s="3" t="s">
        <v>42</v>
      </c>
      <c r="G84" s="3" t="s">
        <v>20</v>
      </c>
      <c r="H84" s="3" t="s">
        <v>15</v>
      </c>
      <c r="I84" s="3">
        <v>7085</v>
      </c>
      <c r="J84" s="3">
        <v>89</v>
      </c>
      <c r="K84" s="3">
        <v>89</v>
      </c>
      <c r="L84" s="18"/>
    </row>
    <row r="85" spans="1:12" ht="15.6" x14ac:dyDescent="0.35">
      <c r="A85" s="19">
        <v>89</v>
      </c>
      <c r="B85" s="3" t="s">
        <v>172</v>
      </c>
      <c r="C85" s="3" t="s">
        <v>31</v>
      </c>
      <c r="D85" s="3" t="s">
        <v>142</v>
      </c>
      <c r="E85" s="3" t="s">
        <v>13</v>
      </c>
      <c r="F85" s="3" t="s">
        <v>44</v>
      </c>
      <c r="G85" s="3" t="s">
        <v>45</v>
      </c>
      <c r="H85" s="3" t="s">
        <v>15</v>
      </c>
      <c r="I85" s="3">
        <v>7382</v>
      </c>
      <c r="J85" s="3">
        <v>90</v>
      </c>
      <c r="K85" s="3">
        <v>90</v>
      </c>
      <c r="L85" s="18"/>
    </row>
    <row r="86" spans="1:12" ht="15.6" x14ac:dyDescent="0.35">
      <c r="A86" s="19">
        <v>90</v>
      </c>
      <c r="B86" s="3" t="s">
        <v>173</v>
      </c>
      <c r="C86" s="3" t="s">
        <v>155</v>
      </c>
      <c r="D86" s="3" t="s">
        <v>174</v>
      </c>
      <c r="E86" s="3" t="s">
        <v>18</v>
      </c>
      <c r="F86" s="3" t="s">
        <v>48</v>
      </c>
      <c r="G86" s="3" t="s">
        <v>40</v>
      </c>
      <c r="H86" s="3" t="s">
        <v>46</v>
      </c>
      <c r="I86" s="3">
        <v>4636</v>
      </c>
      <c r="J86" s="3">
        <v>91</v>
      </c>
      <c r="K86" s="3">
        <v>91</v>
      </c>
      <c r="L86" s="18"/>
    </row>
    <row r="87" spans="1:12" ht="15.6" x14ac:dyDescent="0.35">
      <c r="A87" s="19">
        <v>91</v>
      </c>
      <c r="B87" s="3" t="s">
        <v>175</v>
      </c>
      <c r="C87" s="3" t="s">
        <v>155</v>
      </c>
      <c r="D87" s="3" t="s">
        <v>174</v>
      </c>
      <c r="E87" s="3" t="s">
        <v>13</v>
      </c>
      <c r="F87" s="3" t="s">
        <v>50</v>
      </c>
      <c r="G87" s="3" t="s">
        <v>51</v>
      </c>
      <c r="H87" s="3" t="s">
        <v>46</v>
      </c>
      <c r="I87" s="3">
        <v>2540</v>
      </c>
      <c r="J87" s="3">
        <v>92</v>
      </c>
      <c r="K87" s="3">
        <v>92</v>
      </c>
      <c r="L87" s="18"/>
    </row>
    <row r="88" spans="1:12" ht="15.6" x14ac:dyDescent="0.35">
      <c r="A88" s="19">
        <v>92</v>
      </c>
      <c r="B88" s="3" t="s">
        <v>176</v>
      </c>
      <c r="C88" s="3" t="s">
        <v>155</v>
      </c>
      <c r="D88" s="3" t="s">
        <v>174</v>
      </c>
      <c r="E88" s="3" t="s">
        <v>13</v>
      </c>
      <c r="F88" s="3" t="s">
        <v>53</v>
      </c>
      <c r="G88" s="3" t="s">
        <v>51</v>
      </c>
      <c r="H88" s="3" t="s">
        <v>46</v>
      </c>
      <c r="I88" s="3">
        <v>6995</v>
      </c>
      <c r="J88" s="3">
        <v>93</v>
      </c>
      <c r="K88" s="3">
        <v>93</v>
      </c>
      <c r="L88" s="18"/>
    </row>
    <row r="89" spans="1:12" ht="15.6" x14ac:dyDescent="0.35">
      <c r="A89" s="19">
        <v>93</v>
      </c>
      <c r="B89" s="3" t="s">
        <v>177</v>
      </c>
      <c r="C89" s="3" t="s">
        <v>155</v>
      </c>
      <c r="D89" s="3" t="s">
        <v>174</v>
      </c>
      <c r="E89" s="3" t="s">
        <v>18</v>
      </c>
      <c r="F89" s="3" t="s">
        <v>56</v>
      </c>
      <c r="G89" s="3" t="s">
        <v>20</v>
      </c>
      <c r="H89" s="3" t="s">
        <v>46</v>
      </c>
      <c r="I89" s="3">
        <v>8442</v>
      </c>
      <c r="J89" s="3">
        <v>94</v>
      </c>
      <c r="K89" s="3">
        <v>94</v>
      </c>
      <c r="L89" s="18"/>
    </row>
    <row r="90" spans="1:12" ht="15.6" x14ac:dyDescent="0.35">
      <c r="A90" s="19">
        <v>94</v>
      </c>
      <c r="B90" s="3" t="s">
        <v>178</v>
      </c>
      <c r="C90" s="3" t="s">
        <v>155</v>
      </c>
      <c r="D90" s="3" t="s">
        <v>174</v>
      </c>
      <c r="E90" s="3" t="s">
        <v>58</v>
      </c>
      <c r="F90" s="3" t="s">
        <v>59</v>
      </c>
      <c r="G90" s="3" t="s">
        <v>60</v>
      </c>
      <c r="H90" s="3" t="s">
        <v>46</v>
      </c>
      <c r="I90" s="3">
        <v>8766</v>
      </c>
      <c r="J90" s="3">
        <v>95</v>
      </c>
      <c r="K90" s="3">
        <v>95</v>
      </c>
      <c r="L90" s="18"/>
    </row>
    <row r="91" spans="1:12" ht="15.6" x14ac:dyDescent="0.35">
      <c r="A91" s="19">
        <v>95</v>
      </c>
      <c r="B91" s="3" t="s">
        <v>179</v>
      </c>
      <c r="C91" s="3" t="s">
        <v>155</v>
      </c>
      <c r="D91" s="3" t="s">
        <v>174</v>
      </c>
      <c r="E91" s="3" t="s">
        <v>18</v>
      </c>
      <c r="F91" s="3" t="s">
        <v>128</v>
      </c>
      <c r="G91" s="3" t="s">
        <v>20</v>
      </c>
      <c r="H91" s="3" t="s">
        <v>46</v>
      </c>
      <c r="I91" s="3">
        <v>2645</v>
      </c>
      <c r="J91" s="3">
        <v>96</v>
      </c>
      <c r="K91" s="3">
        <v>96</v>
      </c>
      <c r="L91" s="18"/>
    </row>
    <row r="92" spans="1:12" ht="15.6" x14ac:dyDescent="0.35">
      <c r="A92" s="19">
        <v>96</v>
      </c>
      <c r="B92" s="3" t="s">
        <v>180</v>
      </c>
      <c r="C92" s="3" t="s">
        <v>155</v>
      </c>
      <c r="D92" s="3" t="s">
        <v>174</v>
      </c>
      <c r="E92" s="3" t="s">
        <v>130</v>
      </c>
      <c r="F92" s="3" t="s">
        <v>131</v>
      </c>
      <c r="G92" s="3" t="s">
        <v>131</v>
      </c>
      <c r="H92" s="3" t="s">
        <v>46</v>
      </c>
      <c r="I92" s="3">
        <v>4794</v>
      </c>
      <c r="J92" s="3">
        <v>97</v>
      </c>
      <c r="K92" s="3">
        <v>97</v>
      </c>
      <c r="L92" s="18"/>
    </row>
    <row r="93" spans="1:12" ht="15.6" x14ac:dyDescent="0.35">
      <c r="A93" s="19">
        <v>97</v>
      </c>
      <c r="B93" s="3" t="s">
        <v>181</v>
      </c>
      <c r="C93" s="3" t="s">
        <v>155</v>
      </c>
      <c r="D93" s="3" t="s">
        <v>174</v>
      </c>
      <c r="E93" s="3" t="s">
        <v>58</v>
      </c>
      <c r="F93" s="3" t="s">
        <v>133</v>
      </c>
      <c r="G93" s="3" t="s">
        <v>60</v>
      </c>
      <c r="H93" s="3" t="s">
        <v>15</v>
      </c>
      <c r="I93" s="3">
        <v>4067</v>
      </c>
      <c r="J93" s="3">
        <v>98</v>
      </c>
      <c r="K93" s="3">
        <v>98</v>
      </c>
      <c r="L93" s="18"/>
    </row>
    <row r="94" spans="1:12" ht="15.6" x14ac:dyDescent="0.35">
      <c r="A94" s="19">
        <v>98</v>
      </c>
      <c r="B94" s="3" t="s">
        <v>182</v>
      </c>
      <c r="C94" s="3" t="s">
        <v>155</v>
      </c>
      <c r="D94" s="3" t="s">
        <v>174</v>
      </c>
      <c r="E94" s="3" t="s">
        <v>27</v>
      </c>
      <c r="F94" s="3" t="s">
        <v>135</v>
      </c>
      <c r="G94" s="3" t="s">
        <v>136</v>
      </c>
      <c r="H94" s="3" t="s">
        <v>15</v>
      </c>
      <c r="I94" s="3">
        <v>9519</v>
      </c>
      <c r="J94" s="3">
        <v>99</v>
      </c>
      <c r="K94" s="3">
        <v>99</v>
      </c>
      <c r="L94" s="18"/>
    </row>
    <row r="95" spans="1:12" ht="15.6" x14ac:dyDescent="0.35">
      <c r="A95" s="19">
        <v>99</v>
      </c>
      <c r="B95" s="3" t="s">
        <v>183</v>
      </c>
      <c r="C95" s="3" t="s">
        <v>155</v>
      </c>
      <c r="D95" s="3" t="s">
        <v>174</v>
      </c>
      <c r="E95" s="3" t="s">
        <v>23</v>
      </c>
      <c r="F95" s="3" t="s">
        <v>138</v>
      </c>
      <c r="G95" s="3" t="s">
        <v>139</v>
      </c>
      <c r="H95" s="3" t="s">
        <v>15</v>
      </c>
      <c r="I95" s="3">
        <v>7217</v>
      </c>
      <c r="J95" s="3">
        <v>100</v>
      </c>
      <c r="K95" s="3">
        <v>100</v>
      </c>
      <c r="L95" s="18"/>
    </row>
    <row r="96" spans="1:12" ht="15.6" x14ac:dyDescent="0.35">
      <c r="A96" s="19">
        <v>100</v>
      </c>
      <c r="B96" s="3" t="s">
        <v>184</v>
      </c>
      <c r="C96" s="3" t="s">
        <v>155</v>
      </c>
      <c r="D96" s="3" t="s">
        <v>174</v>
      </c>
      <c r="E96" s="3" t="s">
        <v>18</v>
      </c>
      <c r="F96" s="3" t="s">
        <v>63</v>
      </c>
      <c r="G96" s="3" t="s">
        <v>40</v>
      </c>
      <c r="H96" s="3" t="s">
        <v>15</v>
      </c>
      <c r="I96" s="3">
        <v>1885</v>
      </c>
      <c r="J96" s="3">
        <v>101</v>
      </c>
      <c r="K96" s="3">
        <v>101</v>
      </c>
      <c r="L96" s="18"/>
    </row>
    <row r="97" spans="1:12" ht="15.6" x14ac:dyDescent="0.35">
      <c r="A97" s="19">
        <v>101</v>
      </c>
      <c r="B97" s="3" t="s">
        <v>185</v>
      </c>
      <c r="C97" s="3" t="s">
        <v>155</v>
      </c>
      <c r="D97" s="3" t="s">
        <v>174</v>
      </c>
      <c r="E97" s="3" t="s">
        <v>13</v>
      </c>
      <c r="F97" s="3" t="s">
        <v>65</v>
      </c>
      <c r="G97" s="3" t="s">
        <v>51</v>
      </c>
      <c r="H97" s="3" t="s">
        <v>46</v>
      </c>
      <c r="I97" s="3">
        <v>8921</v>
      </c>
      <c r="J97" s="3">
        <v>102</v>
      </c>
      <c r="K97" s="3">
        <v>102</v>
      </c>
      <c r="L97" s="18"/>
    </row>
    <row r="98" spans="1:12" ht="15.6" x14ac:dyDescent="0.35">
      <c r="A98" s="19">
        <v>102</v>
      </c>
      <c r="B98" s="3" t="s">
        <v>186</v>
      </c>
      <c r="C98" s="3" t="s">
        <v>11</v>
      </c>
      <c r="D98" s="3" t="s">
        <v>104</v>
      </c>
      <c r="E98" s="3" t="s">
        <v>13</v>
      </c>
      <c r="F98" s="3" t="s">
        <v>68</v>
      </c>
      <c r="G98" s="3" t="s">
        <v>51</v>
      </c>
      <c r="H98" s="3" t="s">
        <v>15</v>
      </c>
      <c r="I98" s="3">
        <v>6596</v>
      </c>
      <c r="J98" s="3">
        <v>103</v>
      </c>
      <c r="K98" s="3">
        <v>103</v>
      </c>
      <c r="L98" s="18"/>
    </row>
    <row r="99" spans="1:12" ht="15.6" x14ac:dyDescent="0.35">
      <c r="A99" s="19">
        <v>103</v>
      </c>
      <c r="B99" s="3" t="s">
        <v>187</v>
      </c>
      <c r="C99" s="3" t="s">
        <v>11</v>
      </c>
      <c r="D99" s="3" t="s">
        <v>104</v>
      </c>
      <c r="E99" s="3" t="s">
        <v>27</v>
      </c>
      <c r="F99" s="3" t="s">
        <v>70</v>
      </c>
      <c r="G99" s="3" t="s">
        <v>29</v>
      </c>
      <c r="H99" s="3" t="s">
        <v>15</v>
      </c>
      <c r="I99" s="3">
        <v>3074</v>
      </c>
      <c r="J99" s="3">
        <v>104</v>
      </c>
      <c r="K99" s="3">
        <v>104</v>
      </c>
      <c r="L99" s="18"/>
    </row>
    <row r="100" spans="1:12" ht="15.6" x14ac:dyDescent="0.35">
      <c r="A100" s="19">
        <v>104</v>
      </c>
      <c r="B100" s="3" t="s">
        <v>188</v>
      </c>
      <c r="C100" s="3" t="s">
        <v>11</v>
      </c>
      <c r="D100" s="3" t="s">
        <v>104</v>
      </c>
      <c r="E100" s="3" t="s">
        <v>27</v>
      </c>
      <c r="F100" s="3" t="s">
        <v>72</v>
      </c>
      <c r="G100" s="3" t="s">
        <v>29</v>
      </c>
      <c r="H100" s="3" t="s">
        <v>15</v>
      </c>
      <c r="I100" s="3">
        <v>6116</v>
      </c>
      <c r="J100" s="3">
        <v>105</v>
      </c>
      <c r="K100" s="3">
        <v>105</v>
      </c>
      <c r="L100" s="18"/>
    </row>
    <row r="101" spans="1:12" ht="15.6" x14ac:dyDescent="0.35">
      <c r="A101" s="19">
        <v>105</v>
      </c>
      <c r="B101" s="3" t="s">
        <v>189</v>
      </c>
      <c r="C101" s="3" t="s">
        <v>11</v>
      </c>
      <c r="D101" s="3" t="s">
        <v>104</v>
      </c>
      <c r="E101" s="3" t="s">
        <v>13</v>
      </c>
      <c r="F101" s="3" t="s">
        <v>74</v>
      </c>
      <c r="G101" s="3" t="s">
        <v>45</v>
      </c>
      <c r="H101" s="3" t="s">
        <v>15</v>
      </c>
      <c r="I101" s="3">
        <v>5729</v>
      </c>
      <c r="J101" s="3">
        <v>106</v>
      </c>
      <c r="K101" s="3">
        <v>106</v>
      </c>
      <c r="L101" s="18"/>
    </row>
    <row r="102" spans="1:12" ht="15.6" x14ac:dyDescent="0.35">
      <c r="A102" s="19">
        <v>106</v>
      </c>
      <c r="B102" s="3" t="s">
        <v>190</v>
      </c>
      <c r="C102" s="3" t="s">
        <v>11</v>
      </c>
      <c r="D102" s="3" t="s">
        <v>104</v>
      </c>
      <c r="E102" s="3" t="s">
        <v>13</v>
      </c>
      <c r="F102" s="3" t="s">
        <v>76</v>
      </c>
      <c r="G102" s="3" t="s">
        <v>51</v>
      </c>
      <c r="H102" s="3" t="s">
        <v>46</v>
      </c>
      <c r="I102" s="3">
        <v>7181</v>
      </c>
      <c r="J102" s="3">
        <v>107</v>
      </c>
      <c r="K102" s="3">
        <v>107</v>
      </c>
      <c r="L102" s="18"/>
    </row>
    <row r="103" spans="1:12" ht="15.6" x14ac:dyDescent="0.35">
      <c r="A103" s="19">
        <v>107</v>
      </c>
      <c r="B103" s="3" t="s">
        <v>191</v>
      </c>
      <c r="C103" s="3" t="s">
        <v>11</v>
      </c>
      <c r="D103" s="3" t="s">
        <v>104</v>
      </c>
      <c r="E103" s="3" t="s">
        <v>23</v>
      </c>
      <c r="F103" s="3" t="s">
        <v>78</v>
      </c>
      <c r="G103" s="3" t="s">
        <v>79</v>
      </c>
      <c r="H103" s="3" t="s">
        <v>46</v>
      </c>
      <c r="I103" s="3">
        <v>9034</v>
      </c>
      <c r="J103" s="3">
        <v>108</v>
      </c>
      <c r="K103" s="3">
        <v>108</v>
      </c>
      <c r="L103" s="18"/>
    </row>
    <row r="104" spans="1:12" ht="15.6" x14ac:dyDescent="0.35">
      <c r="A104" s="19">
        <v>108</v>
      </c>
      <c r="B104" s="3" t="s">
        <v>192</v>
      </c>
      <c r="C104" s="3" t="s">
        <v>11</v>
      </c>
      <c r="D104" s="3" t="s">
        <v>104</v>
      </c>
      <c r="E104" s="3" t="s">
        <v>27</v>
      </c>
      <c r="F104" s="3" t="s">
        <v>81</v>
      </c>
      <c r="G104" s="3" t="s">
        <v>150</v>
      </c>
      <c r="H104" s="3" t="s">
        <v>46</v>
      </c>
      <c r="I104" s="3">
        <v>6005</v>
      </c>
      <c r="J104" s="3">
        <v>109</v>
      </c>
      <c r="K104" s="3">
        <v>109</v>
      </c>
      <c r="L104" s="18"/>
    </row>
    <row r="105" spans="1:12" ht="15.6" x14ac:dyDescent="0.35">
      <c r="A105" s="19">
        <v>109</v>
      </c>
      <c r="B105" s="3" t="s">
        <v>193</v>
      </c>
      <c r="C105" s="3" t="s">
        <v>11</v>
      </c>
      <c r="D105" s="3" t="s">
        <v>104</v>
      </c>
      <c r="E105" s="3" t="s">
        <v>18</v>
      </c>
      <c r="F105" s="3" t="s">
        <v>83</v>
      </c>
      <c r="G105" s="3" t="s">
        <v>20</v>
      </c>
      <c r="H105" s="3" t="s">
        <v>46</v>
      </c>
      <c r="I105" s="3">
        <v>5261</v>
      </c>
      <c r="J105" s="3">
        <v>110</v>
      </c>
      <c r="K105" s="3">
        <v>110</v>
      </c>
      <c r="L105" s="18"/>
    </row>
    <row r="106" spans="1:12" ht="15.6" x14ac:dyDescent="0.35">
      <c r="A106" s="19">
        <v>110</v>
      </c>
      <c r="B106" s="3" t="s">
        <v>194</v>
      </c>
      <c r="C106" s="3" t="s">
        <v>11</v>
      </c>
      <c r="D106" s="3" t="s">
        <v>104</v>
      </c>
      <c r="E106" s="3" t="s">
        <v>13</v>
      </c>
      <c r="F106" s="3" t="s">
        <v>85</v>
      </c>
      <c r="G106" s="3" t="s">
        <v>86</v>
      </c>
      <c r="H106" s="3" t="s">
        <v>46</v>
      </c>
      <c r="I106" s="3">
        <v>5989</v>
      </c>
      <c r="J106" s="3">
        <v>111</v>
      </c>
      <c r="K106" s="3">
        <v>111</v>
      </c>
      <c r="L106" s="18"/>
    </row>
    <row r="107" spans="1:12" ht="15.6" x14ac:dyDescent="0.35">
      <c r="A107" s="19">
        <v>111</v>
      </c>
      <c r="B107" s="3" t="s">
        <v>195</v>
      </c>
      <c r="C107" s="3" t="s">
        <v>11</v>
      </c>
      <c r="D107" s="3" t="s">
        <v>104</v>
      </c>
      <c r="E107" s="3" t="s">
        <v>13</v>
      </c>
      <c r="F107" s="3" t="s">
        <v>88</v>
      </c>
      <c r="G107" s="3" t="s">
        <v>89</v>
      </c>
      <c r="H107" s="3" t="s">
        <v>46</v>
      </c>
      <c r="I107" s="3">
        <v>6350</v>
      </c>
      <c r="J107" s="3">
        <v>112</v>
      </c>
      <c r="K107" s="3">
        <v>112</v>
      </c>
      <c r="L107" s="18"/>
    </row>
    <row r="108" spans="1:12" ht="15.6" x14ac:dyDescent="0.35">
      <c r="A108" s="19">
        <v>112</v>
      </c>
      <c r="B108" s="3" t="s">
        <v>196</v>
      </c>
      <c r="C108" s="3" t="s">
        <v>11</v>
      </c>
      <c r="D108" s="3" t="s">
        <v>104</v>
      </c>
      <c r="E108" s="3" t="s">
        <v>91</v>
      </c>
      <c r="F108" s="3" t="s">
        <v>92</v>
      </c>
      <c r="G108" s="3" t="s">
        <v>93</v>
      </c>
      <c r="H108" s="3" t="s">
        <v>46</v>
      </c>
      <c r="I108" s="3">
        <v>9014</v>
      </c>
      <c r="J108" s="3">
        <v>113</v>
      </c>
      <c r="K108" s="3">
        <v>113</v>
      </c>
      <c r="L108" s="18"/>
    </row>
    <row r="109" spans="1:12" ht="15.6" x14ac:dyDescent="0.35">
      <c r="A109" s="19">
        <v>113</v>
      </c>
      <c r="B109" s="3" t="s">
        <v>197</v>
      </c>
      <c r="C109" s="3" t="s">
        <v>31</v>
      </c>
      <c r="D109" s="3" t="s">
        <v>121</v>
      </c>
      <c r="E109" s="3" t="s">
        <v>13</v>
      </c>
      <c r="F109" s="3" t="s">
        <v>95</v>
      </c>
      <c r="G109" s="3" t="s">
        <v>96</v>
      </c>
      <c r="H109" s="3" t="s">
        <v>46</v>
      </c>
      <c r="I109" s="3">
        <v>9418</v>
      </c>
      <c r="J109" s="3">
        <v>114</v>
      </c>
      <c r="K109" s="3">
        <v>114</v>
      </c>
      <c r="L109" s="18"/>
    </row>
    <row r="110" spans="1:12" ht="15.6" x14ac:dyDescent="0.35">
      <c r="A110" s="19">
        <v>114</v>
      </c>
      <c r="B110" s="3" t="s">
        <v>198</v>
      </c>
      <c r="C110" s="3" t="s">
        <v>31</v>
      </c>
      <c r="D110" s="3" t="s">
        <v>121</v>
      </c>
      <c r="E110" s="3" t="s">
        <v>58</v>
      </c>
      <c r="F110" s="3" t="s">
        <v>98</v>
      </c>
      <c r="G110" s="3" t="s">
        <v>99</v>
      </c>
      <c r="H110" s="3" t="s">
        <v>46</v>
      </c>
      <c r="I110" s="3">
        <v>8665</v>
      </c>
      <c r="J110" s="3">
        <v>115</v>
      </c>
      <c r="K110" s="3">
        <v>115</v>
      </c>
      <c r="L110" s="18"/>
    </row>
    <row r="111" spans="1:12" ht="15.6" x14ac:dyDescent="0.35">
      <c r="A111" s="19">
        <v>115</v>
      </c>
      <c r="B111" s="3" t="s">
        <v>199</v>
      </c>
      <c r="C111" s="3" t="s">
        <v>31</v>
      </c>
      <c r="D111" s="3" t="s">
        <v>121</v>
      </c>
      <c r="E111" s="3" t="s">
        <v>23</v>
      </c>
      <c r="F111" s="3" t="s">
        <v>101</v>
      </c>
      <c r="G111" s="3" t="s">
        <v>25</v>
      </c>
      <c r="H111" s="3" t="s">
        <v>46</v>
      </c>
      <c r="I111" s="3">
        <v>5344</v>
      </c>
      <c r="J111" s="3">
        <v>116</v>
      </c>
      <c r="K111" s="3">
        <v>116</v>
      </c>
      <c r="L111" s="18"/>
    </row>
    <row r="112" spans="1:12" ht="15.6" x14ac:dyDescent="0.35">
      <c r="A112" s="19">
        <v>116</v>
      </c>
      <c r="B112" s="3" t="s">
        <v>200</v>
      </c>
      <c r="C112" s="3" t="s">
        <v>31</v>
      </c>
      <c r="D112" s="3" t="s">
        <v>121</v>
      </c>
      <c r="E112" s="3" t="s">
        <v>23</v>
      </c>
      <c r="F112" s="3" t="s">
        <v>24</v>
      </c>
      <c r="G112" s="3" t="s">
        <v>25</v>
      </c>
      <c r="H112" s="3" t="s">
        <v>46</v>
      </c>
      <c r="I112" s="3">
        <v>7204</v>
      </c>
      <c r="J112" s="3">
        <v>117</v>
      </c>
      <c r="K112" s="3">
        <v>117</v>
      </c>
      <c r="L112" s="18"/>
    </row>
    <row r="113" spans="1:12" ht="15.6" x14ac:dyDescent="0.35">
      <c r="A113" s="19">
        <v>117</v>
      </c>
      <c r="B113" s="3" t="s">
        <v>201</v>
      </c>
      <c r="C113" s="3" t="s">
        <v>31</v>
      </c>
      <c r="D113" s="3" t="s">
        <v>121</v>
      </c>
      <c r="E113" s="3" t="s">
        <v>58</v>
      </c>
      <c r="F113" s="3" t="s">
        <v>105</v>
      </c>
      <c r="G113" s="3" t="s">
        <v>60</v>
      </c>
      <c r="H113" s="3" t="s">
        <v>46</v>
      </c>
      <c r="I113" s="3">
        <v>5004</v>
      </c>
      <c r="J113" s="3">
        <v>118</v>
      </c>
      <c r="K113" s="3">
        <v>118</v>
      </c>
      <c r="L113" s="18"/>
    </row>
    <row r="114" spans="1:12" ht="15.6" x14ac:dyDescent="0.35">
      <c r="A114" s="19">
        <v>118</v>
      </c>
      <c r="B114" s="3" t="s">
        <v>202</v>
      </c>
      <c r="C114" s="3" t="s">
        <v>31</v>
      </c>
      <c r="D114" s="3" t="s">
        <v>121</v>
      </c>
      <c r="E114" s="3" t="s">
        <v>23</v>
      </c>
      <c r="F114" s="3" t="s">
        <v>107</v>
      </c>
      <c r="G114" s="3" t="s">
        <v>79</v>
      </c>
      <c r="H114" s="3" t="s">
        <v>46</v>
      </c>
      <c r="I114" s="3">
        <v>2162</v>
      </c>
      <c r="J114" s="3">
        <v>119</v>
      </c>
      <c r="K114" s="3">
        <v>119</v>
      </c>
      <c r="L114" s="18"/>
    </row>
    <row r="115" spans="1:12" ht="15.6" x14ac:dyDescent="0.35">
      <c r="A115" s="19">
        <v>119</v>
      </c>
      <c r="B115" s="3" t="s">
        <v>203</v>
      </c>
      <c r="C115" s="3" t="s">
        <v>31</v>
      </c>
      <c r="D115" s="3" t="s">
        <v>121</v>
      </c>
      <c r="E115" s="3" t="s">
        <v>23</v>
      </c>
      <c r="F115" s="3" t="s">
        <v>109</v>
      </c>
      <c r="G115" s="3" t="s">
        <v>25</v>
      </c>
      <c r="H115" s="3" t="s">
        <v>46</v>
      </c>
      <c r="I115" s="3">
        <v>6223</v>
      </c>
      <c r="J115" s="3">
        <v>120</v>
      </c>
      <c r="K115" s="3">
        <v>120</v>
      </c>
      <c r="L115" s="18"/>
    </row>
    <row r="116" spans="1:12" ht="15.6" x14ac:dyDescent="0.35">
      <c r="A116" s="19">
        <v>120</v>
      </c>
      <c r="B116" s="3" t="s">
        <v>204</v>
      </c>
      <c r="C116" s="3" t="s">
        <v>31</v>
      </c>
      <c r="D116" s="3" t="s">
        <v>121</v>
      </c>
      <c r="E116" s="3" t="s">
        <v>27</v>
      </c>
      <c r="F116" s="3" t="s">
        <v>111</v>
      </c>
      <c r="G116" s="3" t="s">
        <v>34</v>
      </c>
      <c r="H116" s="3" t="s">
        <v>46</v>
      </c>
      <c r="I116" s="3">
        <v>5481</v>
      </c>
      <c r="J116" s="3">
        <v>121</v>
      </c>
      <c r="K116" s="3">
        <v>121</v>
      </c>
      <c r="L116" s="18"/>
    </row>
    <row r="117" spans="1:12" ht="15.6" x14ac:dyDescent="0.35">
      <c r="A117" s="19">
        <v>121</v>
      </c>
      <c r="B117" s="3" t="s">
        <v>205</v>
      </c>
      <c r="C117" s="3" t="s">
        <v>31</v>
      </c>
      <c r="D117" s="3" t="s">
        <v>121</v>
      </c>
      <c r="E117" s="3" t="s">
        <v>13</v>
      </c>
      <c r="F117" s="3" t="s">
        <v>14</v>
      </c>
      <c r="G117" s="3" t="s">
        <v>14</v>
      </c>
      <c r="H117" s="3" t="s">
        <v>15</v>
      </c>
      <c r="I117" s="3">
        <v>7362</v>
      </c>
      <c r="J117" s="3">
        <v>122</v>
      </c>
      <c r="K117" s="3">
        <v>122</v>
      </c>
      <c r="L117" s="18"/>
    </row>
    <row r="118" spans="1:12" ht="15.6" x14ac:dyDescent="0.35">
      <c r="A118" s="19">
        <v>122</v>
      </c>
      <c r="B118" s="3" t="s">
        <v>206</v>
      </c>
      <c r="C118" s="3" t="s">
        <v>31</v>
      </c>
      <c r="D118" s="3" t="s">
        <v>121</v>
      </c>
      <c r="E118" s="3" t="s">
        <v>18</v>
      </c>
      <c r="F118" s="3" t="s">
        <v>19</v>
      </c>
      <c r="G118" s="3" t="s">
        <v>20</v>
      </c>
      <c r="H118" s="3" t="s">
        <v>15</v>
      </c>
      <c r="I118" s="3">
        <v>6176</v>
      </c>
      <c r="J118" s="3">
        <v>123</v>
      </c>
      <c r="K118" s="3">
        <v>123</v>
      </c>
      <c r="L118" s="18"/>
    </row>
    <row r="119" spans="1:12" ht="15.6" x14ac:dyDescent="0.35">
      <c r="A119" s="19">
        <v>123</v>
      </c>
      <c r="B119" s="3" t="s">
        <v>207</v>
      </c>
      <c r="C119" s="3" t="s">
        <v>31</v>
      </c>
      <c r="D119" s="3" t="s">
        <v>121</v>
      </c>
      <c r="E119" s="3" t="s">
        <v>23</v>
      </c>
      <c r="F119" s="3" t="s">
        <v>24</v>
      </c>
      <c r="G119" s="3" t="s">
        <v>25</v>
      </c>
      <c r="H119" s="3" t="s">
        <v>15</v>
      </c>
      <c r="I119" s="3">
        <v>6492</v>
      </c>
      <c r="J119" s="3">
        <v>124</v>
      </c>
      <c r="K119" s="3">
        <v>124</v>
      </c>
      <c r="L119" s="18"/>
    </row>
    <row r="120" spans="1:12" ht="15.6" x14ac:dyDescent="0.35">
      <c r="A120" s="19">
        <v>124</v>
      </c>
      <c r="B120" s="3" t="s">
        <v>208</v>
      </c>
      <c r="C120" s="3" t="s">
        <v>31</v>
      </c>
      <c r="D120" s="3" t="s">
        <v>121</v>
      </c>
      <c r="E120" s="3" t="s">
        <v>27</v>
      </c>
      <c r="F120" s="3" t="s">
        <v>28</v>
      </c>
      <c r="G120" s="3" t="s">
        <v>29</v>
      </c>
      <c r="H120" s="3" t="s">
        <v>15</v>
      </c>
      <c r="I120" s="3">
        <v>5268</v>
      </c>
      <c r="J120" s="3">
        <v>125</v>
      </c>
      <c r="K120" s="3">
        <v>125</v>
      </c>
      <c r="L120" s="18"/>
    </row>
    <row r="121" spans="1:12" ht="15.6" x14ac:dyDescent="0.35">
      <c r="A121" s="19">
        <v>125</v>
      </c>
      <c r="B121" s="3" t="s">
        <v>209</v>
      </c>
      <c r="C121" s="3" t="s">
        <v>31</v>
      </c>
      <c r="D121" s="3" t="s">
        <v>142</v>
      </c>
      <c r="E121" s="3" t="s">
        <v>27</v>
      </c>
      <c r="F121" s="3" t="s">
        <v>33</v>
      </c>
      <c r="G121" s="3" t="s">
        <v>34</v>
      </c>
      <c r="H121" s="3" t="s">
        <v>15</v>
      </c>
      <c r="I121" s="3">
        <v>2613</v>
      </c>
      <c r="J121" s="3">
        <v>126</v>
      </c>
      <c r="K121" s="3">
        <v>126</v>
      </c>
      <c r="L121" s="18"/>
    </row>
    <row r="122" spans="1:12" ht="15.6" x14ac:dyDescent="0.35">
      <c r="A122" s="19">
        <v>126</v>
      </c>
      <c r="B122" s="3" t="s">
        <v>210</v>
      </c>
      <c r="C122" s="3" t="s">
        <v>31</v>
      </c>
      <c r="D122" s="3" t="s">
        <v>142</v>
      </c>
      <c r="E122" s="3" t="s">
        <v>27</v>
      </c>
      <c r="F122" s="3" t="s">
        <v>36</v>
      </c>
      <c r="G122" s="3" t="s">
        <v>37</v>
      </c>
      <c r="H122" s="3" t="s">
        <v>46</v>
      </c>
      <c r="I122" s="3">
        <v>3530</v>
      </c>
      <c r="J122" s="3">
        <v>127</v>
      </c>
      <c r="K122" s="3">
        <v>127</v>
      </c>
      <c r="L122" s="18"/>
    </row>
    <row r="123" spans="1:12" ht="15.6" x14ac:dyDescent="0.35">
      <c r="A123" s="19">
        <v>127</v>
      </c>
      <c r="B123" s="3" t="s">
        <v>211</v>
      </c>
      <c r="C123" s="3" t="s">
        <v>31</v>
      </c>
      <c r="D123" s="3" t="s">
        <v>142</v>
      </c>
      <c r="E123" s="3" t="s">
        <v>18</v>
      </c>
      <c r="F123" s="3" t="s">
        <v>39</v>
      </c>
      <c r="G123" s="3" t="s">
        <v>40</v>
      </c>
      <c r="H123" s="3" t="s">
        <v>46</v>
      </c>
      <c r="I123" s="3">
        <v>6376</v>
      </c>
      <c r="J123" s="3">
        <v>128</v>
      </c>
      <c r="K123" s="3">
        <v>128</v>
      </c>
      <c r="L123" s="18"/>
    </row>
    <row r="124" spans="1:12" ht="15.6" x14ac:dyDescent="0.35">
      <c r="A124" s="19">
        <v>128</v>
      </c>
      <c r="B124" s="3" t="s">
        <v>212</v>
      </c>
      <c r="C124" s="3" t="s">
        <v>155</v>
      </c>
      <c r="D124" s="3" t="s">
        <v>174</v>
      </c>
      <c r="E124" s="3" t="s">
        <v>18</v>
      </c>
      <c r="F124" s="3" t="s">
        <v>42</v>
      </c>
      <c r="G124" s="3" t="s">
        <v>20</v>
      </c>
      <c r="H124" s="3" t="s">
        <v>46</v>
      </c>
      <c r="I124" s="3">
        <v>5087</v>
      </c>
      <c r="J124" s="3">
        <v>129</v>
      </c>
      <c r="K124" s="3">
        <v>129</v>
      </c>
      <c r="L124" s="18"/>
    </row>
    <row r="125" spans="1:12" ht="15.6" x14ac:dyDescent="0.35">
      <c r="A125" s="19">
        <v>129</v>
      </c>
      <c r="B125" s="3" t="s">
        <v>213</v>
      </c>
      <c r="C125" s="3" t="s">
        <v>155</v>
      </c>
      <c r="D125" s="3" t="s">
        <v>174</v>
      </c>
      <c r="E125" s="3" t="s">
        <v>13</v>
      </c>
      <c r="F125" s="3" t="s">
        <v>44</v>
      </c>
      <c r="G125" s="3" t="s">
        <v>45</v>
      </c>
      <c r="H125" s="3" t="s">
        <v>46</v>
      </c>
      <c r="I125" s="3">
        <v>8044</v>
      </c>
      <c r="J125" s="3">
        <v>130</v>
      </c>
      <c r="K125" s="3">
        <v>130</v>
      </c>
      <c r="L125" s="18"/>
    </row>
    <row r="126" spans="1:12" ht="15.6" x14ac:dyDescent="0.35">
      <c r="A126" s="19">
        <v>130</v>
      </c>
      <c r="B126" s="3" t="s">
        <v>214</v>
      </c>
      <c r="C126" s="3" t="s">
        <v>155</v>
      </c>
      <c r="D126" s="3" t="s">
        <v>174</v>
      </c>
      <c r="E126" s="3" t="s">
        <v>18</v>
      </c>
      <c r="F126" s="3" t="s">
        <v>48</v>
      </c>
      <c r="G126" s="3" t="s">
        <v>40</v>
      </c>
      <c r="H126" s="3" t="s">
        <v>46</v>
      </c>
      <c r="I126" s="3">
        <v>4427</v>
      </c>
      <c r="J126" s="3">
        <v>131</v>
      </c>
      <c r="K126" s="3">
        <v>131</v>
      </c>
      <c r="L126" s="18"/>
    </row>
    <row r="127" spans="1:12" ht="15.6" x14ac:dyDescent="0.35">
      <c r="A127" s="19">
        <v>131</v>
      </c>
      <c r="B127" s="3" t="s">
        <v>215</v>
      </c>
      <c r="C127" s="3" t="s">
        <v>155</v>
      </c>
      <c r="D127" s="3" t="s">
        <v>174</v>
      </c>
      <c r="E127" s="3" t="s">
        <v>13</v>
      </c>
      <c r="F127" s="3" t="s">
        <v>50</v>
      </c>
      <c r="G127" s="3" t="s">
        <v>51</v>
      </c>
      <c r="H127" s="3" t="s">
        <v>46</v>
      </c>
      <c r="I127" s="3">
        <v>5689</v>
      </c>
      <c r="J127" s="3">
        <v>132</v>
      </c>
      <c r="K127" s="3">
        <v>132</v>
      </c>
      <c r="L127" s="18"/>
    </row>
    <row r="128" spans="1:12" ht="15.6" x14ac:dyDescent="0.35">
      <c r="A128" s="19">
        <v>132</v>
      </c>
      <c r="B128" s="3" t="s">
        <v>216</v>
      </c>
      <c r="C128" s="3" t="s">
        <v>155</v>
      </c>
      <c r="D128" s="3" t="s">
        <v>174</v>
      </c>
      <c r="E128" s="3" t="s">
        <v>13</v>
      </c>
      <c r="F128" s="3" t="s">
        <v>53</v>
      </c>
      <c r="G128" s="3" t="s">
        <v>51</v>
      </c>
      <c r="H128" s="3" t="s">
        <v>46</v>
      </c>
      <c r="I128" s="3">
        <v>2431</v>
      </c>
      <c r="J128" s="3">
        <v>133</v>
      </c>
      <c r="K128" s="3">
        <v>133</v>
      </c>
      <c r="L128" s="18"/>
    </row>
    <row r="129" spans="1:12" ht="15.6" x14ac:dyDescent="0.35">
      <c r="A129" s="19">
        <v>133</v>
      </c>
      <c r="B129" s="3" t="s">
        <v>217</v>
      </c>
      <c r="C129" s="3" t="s">
        <v>155</v>
      </c>
      <c r="D129" s="3" t="s">
        <v>174</v>
      </c>
      <c r="E129" s="3" t="s">
        <v>18</v>
      </c>
      <c r="F129" s="3" t="s">
        <v>56</v>
      </c>
      <c r="G129" s="3" t="s">
        <v>20</v>
      </c>
      <c r="H129" s="3" t="s">
        <v>15</v>
      </c>
      <c r="I129" s="3">
        <v>1567</v>
      </c>
      <c r="J129" s="3">
        <v>134</v>
      </c>
      <c r="K129" s="3">
        <v>134</v>
      </c>
      <c r="L129" s="18"/>
    </row>
    <row r="130" spans="1:12" ht="15.6" x14ac:dyDescent="0.35">
      <c r="A130" s="19">
        <v>134</v>
      </c>
      <c r="B130" s="3" t="s">
        <v>218</v>
      </c>
      <c r="C130" s="3" t="s">
        <v>155</v>
      </c>
      <c r="D130" s="3" t="s">
        <v>174</v>
      </c>
      <c r="E130" s="3" t="s">
        <v>58</v>
      </c>
      <c r="F130" s="3" t="s">
        <v>59</v>
      </c>
      <c r="G130" s="3" t="s">
        <v>60</v>
      </c>
      <c r="H130" s="3" t="s">
        <v>15</v>
      </c>
      <c r="I130" s="3">
        <v>4760</v>
      </c>
      <c r="J130" s="3">
        <v>135</v>
      </c>
      <c r="K130" s="3">
        <v>135</v>
      </c>
      <c r="L130" s="18"/>
    </row>
    <row r="131" spans="1:12" ht="15.6" x14ac:dyDescent="0.35">
      <c r="A131" s="19">
        <v>135</v>
      </c>
      <c r="B131" s="3" t="s">
        <v>219</v>
      </c>
      <c r="C131" s="3" t="s">
        <v>11</v>
      </c>
      <c r="D131" s="3" t="s">
        <v>104</v>
      </c>
      <c r="E131" s="3" t="s">
        <v>18</v>
      </c>
      <c r="F131" s="3" t="s">
        <v>128</v>
      </c>
      <c r="G131" s="3" t="s">
        <v>20</v>
      </c>
      <c r="H131" s="3" t="s">
        <v>15</v>
      </c>
      <c r="I131" s="3">
        <v>2605</v>
      </c>
      <c r="J131" s="3">
        <v>136</v>
      </c>
      <c r="K131" s="3">
        <v>136</v>
      </c>
      <c r="L131" s="18"/>
    </row>
    <row r="132" spans="1:12" ht="15.6" x14ac:dyDescent="0.35">
      <c r="A132" s="19">
        <v>136</v>
      </c>
      <c r="B132" s="3" t="s">
        <v>220</v>
      </c>
      <c r="C132" s="3" t="s">
        <v>11</v>
      </c>
      <c r="D132" s="3" t="s">
        <v>104</v>
      </c>
      <c r="E132" s="3" t="s">
        <v>130</v>
      </c>
      <c r="F132" s="3" t="s">
        <v>131</v>
      </c>
      <c r="G132" s="3" t="s">
        <v>131</v>
      </c>
      <c r="H132" s="3" t="s">
        <v>15</v>
      </c>
      <c r="I132" s="3">
        <v>8431</v>
      </c>
      <c r="J132" s="3">
        <v>137</v>
      </c>
      <c r="K132" s="3">
        <v>137</v>
      </c>
      <c r="L132" s="18"/>
    </row>
    <row r="133" spans="1:12" ht="15.6" x14ac:dyDescent="0.35">
      <c r="A133" s="19">
        <v>137</v>
      </c>
      <c r="B133" s="3" t="s">
        <v>221</v>
      </c>
      <c r="C133" s="3" t="s">
        <v>11</v>
      </c>
      <c r="D133" s="3" t="s">
        <v>104</v>
      </c>
      <c r="E133" s="3" t="s">
        <v>58</v>
      </c>
      <c r="F133" s="3" t="s">
        <v>133</v>
      </c>
      <c r="G133" s="3" t="s">
        <v>60</v>
      </c>
      <c r="H133" s="3" t="s">
        <v>46</v>
      </c>
      <c r="I133" s="3">
        <v>5487</v>
      </c>
      <c r="J133" s="3">
        <v>138</v>
      </c>
      <c r="K133" s="3">
        <v>138</v>
      </c>
      <c r="L133" s="18"/>
    </row>
    <row r="134" spans="1:12" ht="15.6" x14ac:dyDescent="0.35">
      <c r="A134" s="19">
        <v>138</v>
      </c>
      <c r="B134" s="3" t="s">
        <v>222</v>
      </c>
      <c r="C134" s="3" t="s">
        <v>11</v>
      </c>
      <c r="D134" s="3" t="s">
        <v>104</v>
      </c>
      <c r="E134" s="3" t="s">
        <v>27</v>
      </c>
      <c r="F134" s="3" t="s">
        <v>135</v>
      </c>
      <c r="G134" s="3" t="s">
        <v>136</v>
      </c>
      <c r="H134" s="3" t="s">
        <v>15</v>
      </c>
      <c r="I134" s="3">
        <v>3782</v>
      </c>
      <c r="J134" s="3">
        <v>139</v>
      </c>
      <c r="K134" s="3">
        <v>139</v>
      </c>
      <c r="L134" s="18"/>
    </row>
    <row r="135" spans="1:12" ht="15.6" x14ac:dyDescent="0.35">
      <c r="A135" s="19">
        <v>139</v>
      </c>
      <c r="B135" s="3" t="s">
        <v>223</v>
      </c>
      <c r="C135" s="3" t="s">
        <v>11</v>
      </c>
      <c r="D135" s="3" t="s">
        <v>104</v>
      </c>
      <c r="E135" s="3" t="s">
        <v>23</v>
      </c>
      <c r="F135" s="3" t="s">
        <v>138</v>
      </c>
      <c r="G135" s="3" t="s">
        <v>139</v>
      </c>
      <c r="H135" s="3" t="s">
        <v>15</v>
      </c>
      <c r="I135" s="3">
        <v>2743</v>
      </c>
      <c r="J135" s="3">
        <v>140</v>
      </c>
      <c r="K135" s="3">
        <v>140</v>
      </c>
      <c r="L135" s="18"/>
    </row>
    <row r="136" spans="1:12" ht="15.6" x14ac:dyDescent="0.35">
      <c r="A136" s="19">
        <v>140</v>
      </c>
      <c r="B136" s="3" t="s">
        <v>224</v>
      </c>
      <c r="C136" s="3" t="s">
        <v>11</v>
      </c>
      <c r="D136" s="3" t="s">
        <v>104</v>
      </c>
      <c r="E136" s="3" t="s">
        <v>18</v>
      </c>
      <c r="F136" s="3" t="s">
        <v>63</v>
      </c>
      <c r="G136" s="3" t="s">
        <v>40</v>
      </c>
      <c r="H136" s="3" t="s">
        <v>15</v>
      </c>
      <c r="I136" s="3">
        <v>4239</v>
      </c>
      <c r="J136" s="3">
        <v>141</v>
      </c>
      <c r="K136" s="3">
        <v>141</v>
      </c>
      <c r="L136" s="18"/>
    </row>
    <row r="137" spans="1:12" ht="15.6" x14ac:dyDescent="0.35">
      <c r="A137" s="19">
        <v>141</v>
      </c>
      <c r="B137" s="3" t="s">
        <v>225</v>
      </c>
      <c r="C137" s="3" t="s">
        <v>11</v>
      </c>
      <c r="D137" s="3" t="s">
        <v>104</v>
      </c>
      <c r="E137" s="3" t="s">
        <v>13</v>
      </c>
      <c r="F137" s="3" t="s">
        <v>65</v>
      </c>
      <c r="G137" s="3" t="s">
        <v>51</v>
      </c>
      <c r="H137" s="3" t="s">
        <v>15</v>
      </c>
      <c r="I137" s="3">
        <v>7544</v>
      </c>
      <c r="J137" s="3">
        <v>142</v>
      </c>
      <c r="K137" s="3">
        <v>142</v>
      </c>
      <c r="L137" s="18"/>
    </row>
    <row r="138" spans="1:12" ht="15.6" x14ac:dyDescent="0.35">
      <c r="A138" s="19">
        <v>142</v>
      </c>
      <c r="B138" s="3" t="s">
        <v>226</v>
      </c>
      <c r="C138" s="3" t="s">
        <v>11</v>
      </c>
      <c r="D138" s="3" t="s">
        <v>104</v>
      </c>
      <c r="E138" s="3" t="s">
        <v>13</v>
      </c>
      <c r="F138" s="3" t="s">
        <v>68</v>
      </c>
      <c r="G138" s="3" t="s">
        <v>51</v>
      </c>
      <c r="H138" s="3" t="s">
        <v>46</v>
      </c>
      <c r="I138" s="3">
        <v>3400</v>
      </c>
      <c r="J138" s="3">
        <v>143</v>
      </c>
      <c r="K138" s="3">
        <v>143</v>
      </c>
      <c r="L138" s="18"/>
    </row>
    <row r="139" spans="1:12" ht="15.6" x14ac:dyDescent="0.35">
      <c r="A139" s="19">
        <v>143</v>
      </c>
      <c r="B139" s="3" t="s">
        <v>227</v>
      </c>
      <c r="C139" s="3" t="s">
        <v>11</v>
      </c>
      <c r="D139" s="3" t="s">
        <v>104</v>
      </c>
      <c r="E139" s="3" t="s">
        <v>27</v>
      </c>
      <c r="F139" s="3" t="s">
        <v>70</v>
      </c>
      <c r="G139" s="3" t="s">
        <v>29</v>
      </c>
      <c r="H139" s="3" t="s">
        <v>46</v>
      </c>
      <c r="I139" s="3">
        <v>1964</v>
      </c>
      <c r="J139" s="3">
        <v>144</v>
      </c>
      <c r="K139" s="3">
        <v>144</v>
      </c>
      <c r="L139" s="18"/>
    </row>
    <row r="140" spans="1:12" ht="15.6" x14ac:dyDescent="0.35">
      <c r="A140" s="19">
        <v>144</v>
      </c>
      <c r="B140" s="3" t="s">
        <v>228</v>
      </c>
      <c r="C140" s="3" t="s">
        <v>11</v>
      </c>
      <c r="D140" s="3" t="s">
        <v>104</v>
      </c>
      <c r="E140" s="3" t="s">
        <v>27</v>
      </c>
      <c r="F140" s="3" t="s">
        <v>72</v>
      </c>
      <c r="G140" s="3" t="s">
        <v>29</v>
      </c>
      <c r="H140" s="3" t="s">
        <v>46</v>
      </c>
      <c r="I140" s="3">
        <v>4945</v>
      </c>
      <c r="J140" s="3">
        <v>145</v>
      </c>
      <c r="K140" s="3">
        <v>145</v>
      </c>
      <c r="L140" s="18"/>
    </row>
    <row r="141" spans="1:12" ht="15.6" x14ac:dyDescent="0.35">
      <c r="A141" s="19">
        <v>145</v>
      </c>
      <c r="B141" s="3" t="s">
        <v>229</v>
      </c>
      <c r="C141" s="3" t="s">
        <v>11</v>
      </c>
      <c r="D141" s="3" t="s">
        <v>104</v>
      </c>
      <c r="E141" s="3" t="s">
        <v>13</v>
      </c>
      <c r="F141" s="3" t="s">
        <v>74</v>
      </c>
      <c r="G141" s="3" t="s">
        <v>45</v>
      </c>
      <c r="H141" s="3" t="s">
        <v>46</v>
      </c>
      <c r="I141" s="3">
        <v>5530</v>
      </c>
      <c r="J141" s="3">
        <v>146</v>
      </c>
      <c r="K141" s="3">
        <v>146</v>
      </c>
      <c r="L141" s="18"/>
    </row>
    <row r="142" spans="1:12" ht="15.6" x14ac:dyDescent="0.35">
      <c r="A142" s="19">
        <v>146</v>
      </c>
      <c r="B142" s="3" t="s">
        <v>230</v>
      </c>
      <c r="C142" s="3" t="s">
        <v>31</v>
      </c>
      <c r="D142" s="3" t="s">
        <v>121</v>
      </c>
      <c r="E142" s="3" t="s">
        <v>13</v>
      </c>
      <c r="F142" s="3" t="s">
        <v>76</v>
      </c>
      <c r="G142" s="3" t="s">
        <v>51</v>
      </c>
      <c r="H142" s="3" t="s">
        <v>46</v>
      </c>
      <c r="I142" s="3">
        <v>4862</v>
      </c>
      <c r="J142" s="3">
        <v>147</v>
      </c>
      <c r="K142" s="3">
        <v>147</v>
      </c>
      <c r="L142" s="18"/>
    </row>
    <row r="143" spans="1:12" ht="15.6" x14ac:dyDescent="0.35">
      <c r="A143" s="19">
        <v>147</v>
      </c>
      <c r="B143" s="3" t="s">
        <v>231</v>
      </c>
      <c r="C143" s="3" t="s">
        <v>31</v>
      </c>
      <c r="D143" s="3" t="s">
        <v>121</v>
      </c>
      <c r="E143" s="3" t="s">
        <v>23</v>
      </c>
      <c r="F143" s="3" t="s">
        <v>78</v>
      </c>
      <c r="G143" s="3" t="s">
        <v>79</v>
      </c>
      <c r="H143" s="3" t="s">
        <v>46</v>
      </c>
      <c r="I143" s="3">
        <v>9354</v>
      </c>
      <c r="J143" s="3">
        <v>148</v>
      </c>
      <c r="K143" s="3">
        <v>148</v>
      </c>
      <c r="L143" s="18"/>
    </row>
    <row r="144" spans="1:12" ht="15.6" x14ac:dyDescent="0.35">
      <c r="A144" s="19">
        <v>148</v>
      </c>
      <c r="B144" s="3" t="s">
        <v>232</v>
      </c>
      <c r="C144" s="3" t="s">
        <v>31</v>
      </c>
      <c r="D144" s="3" t="s">
        <v>121</v>
      </c>
      <c r="E144" s="3" t="s">
        <v>27</v>
      </c>
      <c r="F144" s="3" t="s">
        <v>81</v>
      </c>
      <c r="G144" s="3" t="s">
        <v>150</v>
      </c>
      <c r="H144" s="3" t="s">
        <v>46</v>
      </c>
      <c r="I144" s="3">
        <v>4121</v>
      </c>
      <c r="J144" s="3">
        <v>149</v>
      </c>
      <c r="K144" s="3">
        <v>149</v>
      </c>
      <c r="L144" s="18"/>
    </row>
    <row r="145" spans="1:12" ht="15.6" x14ac:dyDescent="0.35">
      <c r="A145" s="19">
        <v>149</v>
      </c>
      <c r="B145" s="3" t="s">
        <v>233</v>
      </c>
      <c r="C145" s="3" t="s">
        <v>31</v>
      </c>
      <c r="D145" s="3" t="s">
        <v>121</v>
      </c>
      <c r="E145" s="3" t="s">
        <v>18</v>
      </c>
      <c r="F145" s="3" t="s">
        <v>83</v>
      </c>
      <c r="G145" s="3" t="s">
        <v>20</v>
      </c>
      <c r="H145" s="3" t="s">
        <v>46</v>
      </c>
      <c r="I145" s="3">
        <v>9914</v>
      </c>
      <c r="J145" s="3">
        <v>150</v>
      </c>
      <c r="K145" s="3">
        <v>150</v>
      </c>
      <c r="L145" s="18"/>
    </row>
    <row r="146" spans="1:12" ht="15.6" x14ac:dyDescent="0.35">
      <c r="A146" s="19">
        <v>150</v>
      </c>
      <c r="B146" s="3" t="s">
        <v>234</v>
      </c>
      <c r="C146" s="3" t="s">
        <v>31</v>
      </c>
      <c r="D146" s="3" t="s">
        <v>121</v>
      </c>
      <c r="E146" s="3" t="s">
        <v>13</v>
      </c>
      <c r="F146" s="3" t="s">
        <v>85</v>
      </c>
      <c r="G146" s="3" t="s">
        <v>86</v>
      </c>
      <c r="H146" s="3" t="s">
        <v>46</v>
      </c>
      <c r="I146" s="3">
        <v>2904</v>
      </c>
      <c r="J146" s="3">
        <v>151</v>
      </c>
      <c r="K146" s="3">
        <v>151</v>
      </c>
      <c r="L146" s="18"/>
    </row>
    <row r="147" spans="1:12" ht="15.6" x14ac:dyDescent="0.35">
      <c r="A147" s="19">
        <v>151</v>
      </c>
      <c r="B147" s="3" t="s">
        <v>235</v>
      </c>
      <c r="C147" s="3" t="s">
        <v>31</v>
      </c>
      <c r="D147" s="3" t="s">
        <v>121</v>
      </c>
      <c r="E147" s="3" t="s">
        <v>13</v>
      </c>
      <c r="F147" s="3" t="s">
        <v>88</v>
      </c>
      <c r="G147" s="3" t="s">
        <v>89</v>
      </c>
      <c r="H147" s="3" t="s">
        <v>46</v>
      </c>
      <c r="I147" s="3">
        <v>9981</v>
      </c>
      <c r="J147" s="3">
        <v>152</v>
      </c>
      <c r="K147" s="3">
        <v>152</v>
      </c>
      <c r="L147" s="18"/>
    </row>
    <row r="148" spans="1:12" ht="15.6" x14ac:dyDescent="0.35">
      <c r="A148" s="19">
        <v>152</v>
      </c>
      <c r="B148" s="3" t="s">
        <v>236</v>
      </c>
      <c r="C148" s="3" t="s">
        <v>31</v>
      </c>
      <c r="D148" s="3" t="s">
        <v>121</v>
      </c>
      <c r="E148" s="3" t="s">
        <v>91</v>
      </c>
      <c r="F148" s="3" t="s">
        <v>92</v>
      </c>
      <c r="G148" s="3" t="s">
        <v>93</v>
      </c>
      <c r="H148" s="3" t="s">
        <v>15</v>
      </c>
      <c r="I148" s="3">
        <v>3876</v>
      </c>
      <c r="J148" s="3">
        <v>153</v>
      </c>
      <c r="K148" s="3">
        <v>153</v>
      </c>
      <c r="L148" s="18"/>
    </row>
    <row r="149" spans="1:12" ht="15.6" x14ac:dyDescent="0.35">
      <c r="A149" s="19">
        <v>153</v>
      </c>
      <c r="B149" s="3" t="s">
        <v>237</v>
      </c>
      <c r="C149" s="3" t="s">
        <v>31</v>
      </c>
      <c r="D149" s="3" t="s">
        <v>121</v>
      </c>
      <c r="E149" s="3" t="s">
        <v>13</v>
      </c>
      <c r="F149" s="3" t="s">
        <v>95</v>
      </c>
      <c r="G149" s="3" t="s">
        <v>96</v>
      </c>
      <c r="H149" s="3" t="s">
        <v>15</v>
      </c>
      <c r="I149" s="3">
        <v>8887</v>
      </c>
      <c r="J149" s="3">
        <v>154</v>
      </c>
      <c r="K149" s="3">
        <v>154</v>
      </c>
      <c r="L149" s="18"/>
    </row>
    <row r="150" spans="1:12" ht="15.6" x14ac:dyDescent="0.35">
      <c r="A150" s="19">
        <v>154</v>
      </c>
      <c r="B150" s="3" t="s">
        <v>238</v>
      </c>
      <c r="C150" s="3" t="s">
        <v>31</v>
      </c>
      <c r="D150" s="3" t="s">
        <v>121</v>
      </c>
      <c r="E150" s="3" t="s">
        <v>58</v>
      </c>
      <c r="F150" s="3" t="s">
        <v>98</v>
      </c>
      <c r="G150" s="3" t="s">
        <v>99</v>
      </c>
      <c r="H150" s="3" t="s">
        <v>15</v>
      </c>
      <c r="I150" s="3">
        <v>3673</v>
      </c>
      <c r="J150" s="3">
        <v>155</v>
      </c>
      <c r="K150" s="3">
        <v>155</v>
      </c>
      <c r="L150" s="18"/>
    </row>
    <row r="151" spans="1:12" ht="15.6" x14ac:dyDescent="0.35">
      <c r="A151" s="19">
        <v>155</v>
      </c>
      <c r="B151" s="3" t="s">
        <v>239</v>
      </c>
      <c r="C151" s="3" t="s">
        <v>31</v>
      </c>
      <c r="D151" s="3" t="s">
        <v>142</v>
      </c>
      <c r="E151" s="3" t="s">
        <v>23</v>
      </c>
      <c r="F151" s="3" t="s">
        <v>101</v>
      </c>
      <c r="G151" s="3" t="s">
        <v>25</v>
      </c>
      <c r="H151" s="3" t="s">
        <v>15</v>
      </c>
      <c r="I151" s="3">
        <v>7588</v>
      </c>
      <c r="J151" s="3">
        <v>156</v>
      </c>
      <c r="K151" s="3">
        <v>156</v>
      </c>
      <c r="L151" s="18"/>
    </row>
    <row r="152" spans="1:12" ht="15.6" x14ac:dyDescent="0.35">
      <c r="A152" s="19">
        <v>156</v>
      </c>
      <c r="B152" s="3" t="s">
        <v>240</v>
      </c>
      <c r="C152" s="3" t="s">
        <v>31</v>
      </c>
      <c r="D152" s="3" t="s">
        <v>142</v>
      </c>
      <c r="E152" s="3" t="s">
        <v>23</v>
      </c>
      <c r="F152" s="3" t="s">
        <v>24</v>
      </c>
      <c r="G152" s="3" t="s">
        <v>25</v>
      </c>
      <c r="H152" s="3" t="s">
        <v>15</v>
      </c>
      <c r="I152" s="3">
        <v>5137</v>
      </c>
      <c r="J152" s="3">
        <v>157</v>
      </c>
      <c r="K152" s="3">
        <v>157</v>
      </c>
      <c r="L152" s="18"/>
    </row>
    <row r="153" spans="1:12" ht="15.6" x14ac:dyDescent="0.35">
      <c r="A153" s="19">
        <v>157</v>
      </c>
      <c r="B153" s="3" t="s">
        <v>241</v>
      </c>
      <c r="C153" s="3" t="s">
        <v>31</v>
      </c>
      <c r="D153" s="3" t="s">
        <v>142</v>
      </c>
      <c r="E153" s="3" t="s">
        <v>58</v>
      </c>
      <c r="F153" s="3" t="s">
        <v>105</v>
      </c>
      <c r="G153" s="3" t="s">
        <v>60</v>
      </c>
      <c r="H153" s="3" t="s">
        <v>46</v>
      </c>
      <c r="I153" s="3">
        <v>5813</v>
      </c>
      <c r="J153" s="3">
        <v>158</v>
      </c>
      <c r="K153" s="3">
        <v>158</v>
      </c>
      <c r="L153" s="18"/>
    </row>
    <row r="154" spans="1:12" ht="15.6" x14ac:dyDescent="0.35">
      <c r="A154" s="19">
        <v>158</v>
      </c>
      <c r="B154" s="3" t="s">
        <v>242</v>
      </c>
      <c r="C154" s="3" t="s">
        <v>31</v>
      </c>
      <c r="D154" s="3" t="s">
        <v>142</v>
      </c>
      <c r="E154" s="3" t="s">
        <v>23</v>
      </c>
      <c r="F154" s="3" t="s">
        <v>107</v>
      </c>
      <c r="G154" s="3" t="s">
        <v>79</v>
      </c>
      <c r="H154" s="3" t="s">
        <v>46</v>
      </c>
      <c r="I154" s="3">
        <v>7330</v>
      </c>
      <c r="J154" s="3">
        <v>159</v>
      </c>
      <c r="K154" s="3">
        <v>159</v>
      </c>
      <c r="L154" s="18"/>
    </row>
    <row r="155" spans="1:12" ht="15.6" x14ac:dyDescent="0.35">
      <c r="A155" s="19">
        <v>159</v>
      </c>
      <c r="B155" s="3" t="s">
        <v>243</v>
      </c>
      <c r="C155" s="3" t="s">
        <v>31</v>
      </c>
      <c r="D155" s="3" t="s">
        <v>142</v>
      </c>
      <c r="E155" s="3" t="s">
        <v>23</v>
      </c>
      <c r="F155" s="3" t="s">
        <v>109</v>
      </c>
      <c r="G155" s="3" t="s">
        <v>25</v>
      </c>
      <c r="H155" s="3" t="s">
        <v>46</v>
      </c>
      <c r="I155" s="3">
        <v>8139</v>
      </c>
      <c r="J155" s="3">
        <v>160</v>
      </c>
      <c r="K155" s="3">
        <v>160</v>
      </c>
      <c r="L155" s="18"/>
    </row>
    <row r="156" spans="1:12" ht="15.6" x14ac:dyDescent="0.35">
      <c r="A156" s="19">
        <v>160</v>
      </c>
      <c r="B156" s="3" t="s">
        <v>244</v>
      </c>
      <c r="C156" s="3" t="s">
        <v>31</v>
      </c>
      <c r="D156" s="3" t="s">
        <v>142</v>
      </c>
      <c r="E156" s="3" t="s">
        <v>27</v>
      </c>
      <c r="F156" s="3" t="s">
        <v>111</v>
      </c>
      <c r="G156" s="3" t="s">
        <v>34</v>
      </c>
      <c r="H156" s="3" t="s">
        <v>15</v>
      </c>
      <c r="I156" s="3">
        <v>8203</v>
      </c>
      <c r="J156" s="3">
        <v>161</v>
      </c>
      <c r="K156" s="3">
        <v>161</v>
      </c>
      <c r="L156" s="18"/>
    </row>
    <row r="157" spans="1:12" ht="15.6" x14ac:dyDescent="0.35">
      <c r="A157" s="19">
        <v>161</v>
      </c>
      <c r="B157" s="3" t="s">
        <v>245</v>
      </c>
      <c r="C157" s="3" t="s">
        <v>155</v>
      </c>
      <c r="D157" s="3" t="s">
        <v>174</v>
      </c>
      <c r="E157" s="3" t="s">
        <v>13</v>
      </c>
      <c r="F157" s="3" t="s">
        <v>14</v>
      </c>
      <c r="G157" s="3" t="s">
        <v>14</v>
      </c>
      <c r="H157" s="3" t="s">
        <v>15</v>
      </c>
      <c r="I157" s="3">
        <v>1918</v>
      </c>
      <c r="J157" s="3">
        <v>162</v>
      </c>
      <c r="K157" s="3">
        <v>162</v>
      </c>
      <c r="L157" s="18"/>
    </row>
    <row r="158" spans="1:12" ht="15.6" x14ac:dyDescent="0.35">
      <c r="A158" s="19">
        <v>162</v>
      </c>
      <c r="B158" s="3" t="s">
        <v>246</v>
      </c>
      <c r="C158" s="3" t="s">
        <v>155</v>
      </c>
      <c r="D158" s="3" t="s">
        <v>174</v>
      </c>
      <c r="E158" s="3" t="s">
        <v>18</v>
      </c>
      <c r="F158" s="3" t="s">
        <v>19</v>
      </c>
      <c r="G158" s="3" t="s">
        <v>20</v>
      </c>
      <c r="H158" s="3" t="s">
        <v>15</v>
      </c>
      <c r="I158" s="3">
        <v>7692</v>
      </c>
      <c r="J158" s="3">
        <v>163</v>
      </c>
      <c r="K158" s="3">
        <v>163</v>
      </c>
      <c r="L158" s="18"/>
    </row>
    <row r="159" spans="1:12" ht="15.6" x14ac:dyDescent="0.35">
      <c r="A159" s="19">
        <v>163</v>
      </c>
      <c r="B159" s="3" t="s">
        <v>247</v>
      </c>
      <c r="C159" s="3" t="s">
        <v>155</v>
      </c>
      <c r="D159" s="3" t="s">
        <v>174</v>
      </c>
      <c r="E159" s="3" t="s">
        <v>23</v>
      </c>
      <c r="F159" s="3" t="s">
        <v>24</v>
      </c>
      <c r="G159" s="3" t="s">
        <v>25</v>
      </c>
      <c r="H159" s="3" t="s">
        <v>15</v>
      </c>
      <c r="I159" s="3">
        <v>8066</v>
      </c>
      <c r="J159" s="3">
        <v>164</v>
      </c>
      <c r="K159" s="3">
        <v>164</v>
      </c>
      <c r="L159" s="18"/>
    </row>
    <row r="160" spans="1:12" ht="15.6" x14ac:dyDescent="0.35">
      <c r="A160" s="19">
        <v>164</v>
      </c>
      <c r="B160" s="3" t="s">
        <v>248</v>
      </c>
      <c r="C160" s="3" t="s">
        <v>155</v>
      </c>
      <c r="D160" s="3" t="s">
        <v>174</v>
      </c>
      <c r="E160" s="3" t="s">
        <v>27</v>
      </c>
      <c r="F160" s="3" t="s">
        <v>28</v>
      </c>
      <c r="G160" s="3" t="s">
        <v>29</v>
      </c>
      <c r="H160" s="3" t="s">
        <v>15</v>
      </c>
      <c r="I160" s="3">
        <v>5931</v>
      </c>
      <c r="J160" s="3">
        <v>165</v>
      </c>
      <c r="K160" s="3">
        <v>165</v>
      </c>
      <c r="L160" s="18"/>
    </row>
    <row r="161" spans="1:12" ht="15.6" x14ac:dyDescent="0.35">
      <c r="A161" s="19">
        <v>165</v>
      </c>
      <c r="B161" s="3" t="s">
        <v>249</v>
      </c>
      <c r="C161" s="3" t="s">
        <v>155</v>
      </c>
      <c r="D161" s="3" t="s">
        <v>174</v>
      </c>
      <c r="E161" s="3" t="s">
        <v>27</v>
      </c>
      <c r="F161" s="3" t="s">
        <v>33</v>
      </c>
      <c r="G161" s="3" t="s">
        <v>34</v>
      </c>
      <c r="H161" s="3" t="s">
        <v>46</v>
      </c>
      <c r="I161" s="3">
        <v>5555</v>
      </c>
      <c r="J161" s="3">
        <v>166</v>
      </c>
      <c r="K161" s="3">
        <v>166</v>
      </c>
      <c r="L161" s="18"/>
    </row>
    <row r="162" spans="1:12" ht="15.6" x14ac:dyDescent="0.35">
      <c r="A162" s="19">
        <v>166</v>
      </c>
      <c r="B162" s="3" t="s">
        <v>250</v>
      </c>
      <c r="C162" s="3" t="s">
        <v>155</v>
      </c>
      <c r="D162" s="3" t="s">
        <v>174</v>
      </c>
      <c r="E162" s="3" t="s">
        <v>27</v>
      </c>
      <c r="F162" s="3" t="s">
        <v>36</v>
      </c>
      <c r="G162" s="3" t="s">
        <v>37</v>
      </c>
      <c r="H162" s="3" t="s">
        <v>46</v>
      </c>
      <c r="I162" s="3">
        <v>7543</v>
      </c>
      <c r="J162" s="3">
        <v>167</v>
      </c>
      <c r="K162" s="3">
        <v>167</v>
      </c>
      <c r="L162" s="18"/>
    </row>
    <row r="163" spans="1:12" ht="15.6" x14ac:dyDescent="0.35">
      <c r="A163" s="19">
        <v>167</v>
      </c>
      <c r="B163" s="3" t="s">
        <v>251</v>
      </c>
      <c r="C163" s="3" t="s">
        <v>155</v>
      </c>
      <c r="D163" s="3" t="s">
        <v>174</v>
      </c>
      <c r="E163" s="3" t="s">
        <v>18</v>
      </c>
      <c r="F163" s="3" t="s">
        <v>39</v>
      </c>
      <c r="G163" s="3" t="s">
        <v>40</v>
      </c>
      <c r="H163" s="3" t="s">
        <v>46</v>
      </c>
      <c r="I163" s="3">
        <v>7725</v>
      </c>
      <c r="J163" s="3">
        <v>168</v>
      </c>
      <c r="K163" s="3">
        <v>168</v>
      </c>
      <c r="L163" s="18"/>
    </row>
    <row r="164" spans="1:12" ht="15.6" x14ac:dyDescent="0.35">
      <c r="A164" s="19">
        <v>168</v>
      </c>
      <c r="B164" s="3" t="s">
        <v>252</v>
      </c>
      <c r="C164" s="3" t="s">
        <v>155</v>
      </c>
      <c r="D164" s="3" t="s">
        <v>174</v>
      </c>
      <c r="E164" s="3" t="s">
        <v>18</v>
      </c>
      <c r="F164" s="3" t="s">
        <v>42</v>
      </c>
      <c r="G164" s="3" t="s">
        <v>20</v>
      </c>
      <c r="H164" s="3" t="s">
        <v>46</v>
      </c>
      <c r="I164" s="3">
        <v>7125</v>
      </c>
      <c r="J164" s="3">
        <v>169</v>
      </c>
      <c r="K164" s="3">
        <v>169</v>
      </c>
      <c r="L164" s="18"/>
    </row>
    <row r="165" spans="1:12" ht="15.6" x14ac:dyDescent="0.35">
      <c r="A165" s="19">
        <v>169</v>
      </c>
      <c r="B165" s="3" t="s">
        <v>253</v>
      </c>
      <c r="C165" s="3" t="s">
        <v>155</v>
      </c>
      <c r="D165" s="3" t="s">
        <v>174</v>
      </c>
      <c r="E165" s="3" t="s">
        <v>13</v>
      </c>
      <c r="F165" s="3" t="s">
        <v>44</v>
      </c>
      <c r="G165" s="3" t="s">
        <v>45</v>
      </c>
      <c r="H165" s="3" t="s">
        <v>46</v>
      </c>
      <c r="I165" s="3">
        <v>1784</v>
      </c>
      <c r="J165" s="3">
        <v>170</v>
      </c>
      <c r="K165" s="3">
        <v>170</v>
      </c>
      <c r="L165" s="18"/>
    </row>
    <row r="166" spans="1:12" ht="15.6" x14ac:dyDescent="0.35">
      <c r="A166" s="19">
        <v>170</v>
      </c>
      <c r="B166" s="3" t="s">
        <v>254</v>
      </c>
      <c r="C166" s="3" t="s">
        <v>155</v>
      </c>
      <c r="D166" s="3" t="s">
        <v>174</v>
      </c>
      <c r="E166" s="3" t="s">
        <v>18</v>
      </c>
      <c r="F166" s="3" t="s">
        <v>48</v>
      </c>
      <c r="G166" s="3" t="s">
        <v>40</v>
      </c>
      <c r="H166" s="3" t="s">
        <v>46</v>
      </c>
      <c r="I166" s="3">
        <v>6571</v>
      </c>
      <c r="J166" s="3">
        <v>171</v>
      </c>
      <c r="K166" s="3">
        <v>171</v>
      </c>
      <c r="L166" s="18"/>
    </row>
    <row r="167" spans="1:12" ht="15.6" x14ac:dyDescent="0.35">
      <c r="A167" s="19">
        <v>171</v>
      </c>
      <c r="B167" s="3" t="s">
        <v>255</v>
      </c>
      <c r="C167" s="3" t="s">
        <v>155</v>
      </c>
      <c r="D167" s="3" t="s">
        <v>174</v>
      </c>
      <c r="E167" s="3" t="s">
        <v>13</v>
      </c>
      <c r="F167" s="3" t="s">
        <v>50</v>
      </c>
      <c r="G167" s="3" t="s">
        <v>51</v>
      </c>
      <c r="H167" s="3" t="s">
        <v>46</v>
      </c>
      <c r="I167" s="3">
        <v>6742</v>
      </c>
      <c r="J167" s="3">
        <v>172</v>
      </c>
      <c r="K167" s="3">
        <v>172</v>
      </c>
      <c r="L167" s="18"/>
    </row>
    <row r="168" spans="1:12" ht="15.6" x14ac:dyDescent="0.35">
      <c r="A168" s="19">
        <v>172</v>
      </c>
      <c r="B168" s="3" t="s">
        <v>256</v>
      </c>
      <c r="C168" s="3" t="s">
        <v>155</v>
      </c>
      <c r="D168" s="3" t="s">
        <v>174</v>
      </c>
      <c r="E168" s="3" t="s">
        <v>13</v>
      </c>
      <c r="F168" s="3" t="s">
        <v>53</v>
      </c>
      <c r="G168" s="3" t="s">
        <v>51</v>
      </c>
      <c r="H168" s="3" t="s">
        <v>15</v>
      </c>
      <c r="I168" s="3">
        <v>7493</v>
      </c>
      <c r="J168" s="3">
        <v>173</v>
      </c>
      <c r="K168" s="3">
        <v>173</v>
      </c>
      <c r="L168" s="18"/>
    </row>
    <row r="169" spans="1:12" ht="15.6" x14ac:dyDescent="0.35">
      <c r="A169" s="19">
        <v>173</v>
      </c>
      <c r="B169" s="3" t="s">
        <v>257</v>
      </c>
      <c r="C169" s="3" t="s">
        <v>31</v>
      </c>
      <c r="D169" s="3" t="s">
        <v>142</v>
      </c>
      <c r="E169" s="3" t="s">
        <v>18</v>
      </c>
      <c r="F169" s="3" t="s">
        <v>56</v>
      </c>
      <c r="G169" s="3" t="s">
        <v>20</v>
      </c>
      <c r="H169" s="3" t="s">
        <v>15</v>
      </c>
      <c r="I169" s="3">
        <v>2130</v>
      </c>
      <c r="J169" s="3">
        <v>174</v>
      </c>
      <c r="K169" s="3">
        <v>174</v>
      </c>
      <c r="L169" s="18"/>
    </row>
    <row r="170" spans="1:12" ht="15.6" x14ac:dyDescent="0.35">
      <c r="A170" s="19">
        <v>174</v>
      </c>
      <c r="B170" s="3" t="s">
        <v>258</v>
      </c>
      <c r="C170" s="3" t="s">
        <v>31</v>
      </c>
      <c r="D170" s="3" t="s">
        <v>142</v>
      </c>
      <c r="E170" s="3" t="s">
        <v>58</v>
      </c>
      <c r="F170" s="3" t="s">
        <v>59</v>
      </c>
      <c r="G170" s="3" t="s">
        <v>60</v>
      </c>
      <c r="H170" s="3" t="s">
        <v>15</v>
      </c>
      <c r="I170" s="3">
        <v>4543</v>
      </c>
      <c r="J170" s="3">
        <v>175</v>
      </c>
      <c r="K170" s="3">
        <v>175</v>
      </c>
      <c r="L170" s="18"/>
    </row>
    <row r="171" spans="1:12" ht="15.6" x14ac:dyDescent="0.35">
      <c r="A171" s="19">
        <v>175</v>
      </c>
      <c r="B171" s="3" t="s">
        <v>259</v>
      </c>
      <c r="C171" s="3" t="s">
        <v>31</v>
      </c>
      <c r="D171" s="3" t="s">
        <v>142</v>
      </c>
      <c r="E171" s="3" t="s">
        <v>18</v>
      </c>
      <c r="F171" s="3" t="s">
        <v>128</v>
      </c>
      <c r="G171" s="3" t="s">
        <v>20</v>
      </c>
      <c r="H171" s="3" t="s">
        <v>15</v>
      </c>
      <c r="I171" s="3">
        <v>6128</v>
      </c>
      <c r="J171" s="3">
        <v>176</v>
      </c>
      <c r="K171" s="3">
        <v>176</v>
      </c>
      <c r="L171" s="18"/>
    </row>
    <row r="172" spans="1:12" ht="15.6" x14ac:dyDescent="0.35">
      <c r="A172" s="19">
        <v>176</v>
      </c>
      <c r="B172" s="3" t="s">
        <v>260</v>
      </c>
      <c r="C172" s="3" t="s">
        <v>31</v>
      </c>
      <c r="D172" s="3" t="s">
        <v>142</v>
      </c>
      <c r="E172" s="3" t="s">
        <v>130</v>
      </c>
      <c r="F172" s="3" t="s">
        <v>131</v>
      </c>
      <c r="G172" s="3" t="s">
        <v>131</v>
      </c>
      <c r="H172" s="3" t="s">
        <v>46</v>
      </c>
      <c r="I172" s="3">
        <v>6210</v>
      </c>
      <c r="J172" s="3">
        <v>177</v>
      </c>
      <c r="K172" s="3">
        <v>177</v>
      </c>
      <c r="L172" s="18"/>
    </row>
    <row r="173" spans="1:12" ht="15.6" x14ac:dyDescent="0.35">
      <c r="A173" s="19">
        <v>177</v>
      </c>
      <c r="B173" s="3" t="s">
        <v>261</v>
      </c>
      <c r="C173" s="3" t="s">
        <v>31</v>
      </c>
      <c r="D173" s="3" t="s">
        <v>142</v>
      </c>
      <c r="E173" s="3" t="s">
        <v>58</v>
      </c>
      <c r="F173" s="3" t="s">
        <v>133</v>
      </c>
      <c r="G173" s="3" t="s">
        <v>60</v>
      </c>
      <c r="H173" s="3" t="s">
        <v>15</v>
      </c>
      <c r="I173" s="3">
        <v>8028</v>
      </c>
      <c r="J173" s="3">
        <v>178</v>
      </c>
      <c r="K173" s="3">
        <v>178</v>
      </c>
      <c r="L173" s="18"/>
    </row>
    <row r="174" spans="1:12" ht="15.6" x14ac:dyDescent="0.35">
      <c r="A174" s="19">
        <v>178</v>
      </c>
      <c r="B174" s="3" t="s">
        <v>262</v>
      </c>
      <c r="C174" s="3" t="s">
        <v>31</v>
      </c>
      <c r="D174" s="3" t="s">
        <v>142</v>
      </c>
      <c r="E174" s="3" t="s">
        <v>27</v>
      </c>
      <c r="F174" s="3" t="s">
        <v>135</v>
      </c>
      <c r="G174" s="3" t="s">
        <v>136</v>
      </c>
      <c r="H174" s="3" t="s">
        <v>15</v>
      </c>
      <c r="I174" s="3">
        <v>2734</v>
      </c>
      <c r="J174" s="3">
        <v>179</v>
      </c>
      <c r="K174" s="3">
        <v>179</v>
      </c>
      <c r="L174" s="18"/>
    </row>
    <row r="175" spans="1:12" ht="15.6" x14ac:dyDescent="0.35">
      <c r="A175" s="19">
        <v>179</v>
      </c>
      <c r="B175" s="3" t="s">
        <v>263</v>
      </c>
      <c r="C175" s="3" t="s">
        <v>31</v>
      </c>
      <c r="D175" s="3" t="s">
        <v>142</v>
      </c>
      <c r="E175" s="3" t="s">
        <v>23</v>
      </c>
      <c r="F175" s="3" t="s">
        <v>138</v>
      </c>
      <c r="G175" s="3" t="s">
        <v>139</v>
      </c>
      <c r="H175" s="3" t="s">
        <v>15</v>
      </c>
      <c r="I175" s="3">
        <v>2144</v>
      </c>
      <c r="J175" s="3">
        <v>180</v>
      </c>
      <c r="K175" s="3">
        <v>180</v>
      </c>
      <c r="L175" s="18"/>
    </row>
    <row r="176" spans="1:12" ht="15.6" x14ac:dyDescent="0.35">
      <c r="A176" s="19">
        <v>180</v>
      </c>
      <c r="B176" s="3" t="s">
        <v>264</v>
      </c>
      <c r="C176" s="3" t="s">
        <v>155</v>
      </c>
      <c r="D176" s="3" t="s">
        <v>17</v>
      </c>
      <c r="E176" s="3" t="s">
        <v>18</v>
      </c>
      <c r="F176" s="3" t="s">
        <v>63</v>
      </c>
      <c r="G176" s="3" t="s">
        <v>40</v>
      </c>
      <c r="H176" s="3" t="s">
        <v>15</v>
      </c>
      <c r="I176" s="3">
        <v>4799</v>
      </c>
      <c r="J176" s="3">
        <v>181</v>
      </c>
      <c r="K176" s="3">
        <v>181</v>
      </c>
      <c r="L176" s="18"/>
    </row>
    <row r="177" spans="1:12" ht="15.6" x14ac:dyDescent="0.35">
      <c r="A177" s="19">
        <v>181</v>
      </c>
      <c r="B177" s="3" t="s">
        <v>265</v>
      </c>
      <c r="C177" s="3" t="s">
        <v>155</v>
      </c>
      <c r="D177" s="3" t="s">
        <v>17</v>
      </c>
      <c r="E177" s="3" t="s">
        <v>13</v>
      </c>
      <c r="F177" s="3" t="s">
        <v>65</v>
      </c>
      <c r="G177" s="3" t="s">
        <v>51</v>
      </c>
      <c r="H177" s="3" t="s">
        <v>46</v>
      </c>
      <c r="I177" s="3">
        <v>4448</v>
      </c>
      <c r="J177" s="3">
        <v>182</v>
      </c>
      <c r="K177" s="3">
        <v>182</v>
      </c>
      <c r="L177" s="18"/>
    </row>
    <row r="178" spans="1:12" ht="15.6" x14ac:dyDescent="0.35">
      <c r="A178" s="19">
        <v>182</v>
      </c>
      <c r="B178" s="3" t="s">
        <v>266</v>
      </c>
      <c r="C178" s="3" t="s">
        <v>155</v>
      </c>
      <c r="D178" s="3" t="s">
        <v>17</v>
      </c>
      <c r="E178" s="3" t="s">
        <v>13</v>
      </c>
      <c r="F178" s="3" t="s">
        <v>68</v>
      </c>
      <c r="G178" s="3" t="s">
        <v>51</v>
      </c>
      <c r="H178" s="3" t="s">
        <v>46</v>
      </c>
      <c r="I178" s="3">
        <v>9290</v>
      </c>
      <c r="J178" s="3">
        <v>183</v>
      </c>
      <c r="K178" s="3">
        <v>183</v>
      </c>
      <c r="L178" s="18"/>
    </row>
    <row r="179" spans="1:12" ht="15.6" x14ac:dyDescent="0.35">
      <c r="A179" s="19">
        <v>183</v>
      </c>
      <c r="B179" s="3" t="s">
        <v>267</v>
      </c>
      <c r="C179" s="3" t="s">
        <v>155</v>
      </c>
      <c r="D179" s="3" t="s">
        <v>17</v>
      </c>
      <c r="E179" s="3" t="s">
        <v>27</v>
      </c>
      <c r="F179" s="3" t="s">
        <v>70</v>
      </c>
      <c r="G179" s="3" t="s">
        <v>29</v>
      </c>
      <c r="H179" s="3" t="s">
        <v>46</v>
      </c>
      <c r="I179" s="3">
        <v>9736</v>
      </c>
      <c r="J179" s="3">
        <v>184</v>
      </c>
      <c r="K179" s="3">
        <v>184</v>
      </c>
      <c r="L179" s="18"/>
    </row>
    <row r="180" spans="1:12" ht="15.6" x14ac:dyDescent="0.35">
      <c r="A180" s="19">
        <v>184</v>
      </c>
      <c r="B180" s="3" t="s">
        <v>268</v>
      </c>
      <c r="C180" s="3" t="s">
        <v>155</v>
      </c>
      <c r="D180" s="3" t="s">
        <v>17</v>
      </c>
      <c r="E180" s="3" t="s">
        <v>27</v>
      </c>
      <c r="F180" s="3" t="s">
        <v>72</v>
      </c>
      <c r="G180" s="3" t="s">
        <v>29</v>
      </c>
      <c r="H180" s="3" t="s">
        <v>46</v>
      </c>
      <c r="I180" s="3">
        <v>9499</v>
      </c>
      <c r="J180" s="3">
        <v>185</v>
      </c>
      <c r="K180" s="3">
        <v>185</v>
      </c>
      <c r="L180" s="18"/>
    </row>
    <row r="181" spans="1:12" ht="15.6" x14ac:dyDescent="0.35">
      <c r="A181" s="19">
        <v>185</v>
      </c>
      <c r="B181" s="3" t="s">
        <v>269</v>
      </c>
      <c r="C181" s="3" t="s">
        <v>155</v>
      </c>
      <c r="D181" s="3" t="s">
        <v>17</v>
      </c>
      <c r="E181" s="3" t="s">
        <v>13</v>
      </c>
      <c r="F181" s="3" t="s">
        <v>74</v>
      </c>
      <c r="G181" s="3" t="s">
        <v>45</v>
      </c>
      <c r="H181" s="3" t="s">
        <v>46</v>
      </c>
      <c r="I181" s="3">
        <v>4981</v>
      </c>
      <c r="J181" s="3">
        <v>186</v>
      </c>
      <c r="K181" s="3">
        <v>186</v>
      </c>
      <c r="L181" s="18"/>
    </row>
    <row r="182" spans="1:12" ht="15.6" x14ac:dyDescent="0.35">
      <c r="A182" s="19">
        <v>186</v>
      </c>
      <c r="B182" s="3" t="s">
        <v>270</v>
      </c>
      <c r="C182" s="3" t="s">
        <v>155</v>
      </c>
      <c r="D182" s="3" t="s">
        <v>17</v>
      </c>
      <c r="E182" s="3" t="s">
        <v>13</v>
      </c>
      <c r="F182" s="3" t="s">
        <v>76</v>
      </c>
      <c r="G182" s="3" t="s">
        <v>51</v>
      </c>
      <c r="H182" s="3" t="s">
        <v>46</v>
      </c>
      <c r="I182" s="3">
        <v>2084</v>
      </c>
      <c r="J182" s="3">
        <v>187</v>
      </c>
      <c r="K182" s="3">
        <v>187</v>
      </c>
      <c r="L182" s="18"/>
    </row>
    <row r="183" spans="1:12" ht="15.6" x14ac:dyDescent="0.35">
      <c r="A183" s="19">
        <v>187</v>
      </c>
      <c r="B183" s="3" t="s">
        <v>271</v>
      </c>
      <c r="C183" s="3" t="s">
        <v>31</v>
      </c>
      <c r="D183" s="3" t="s">
        <v>121</v>
      </c>
      <c r="E183" s="3" t="s">
        <v>23</v>
      </c>
      <c r="F183" s="3" t="s">
        <v>78</v>
      </c>
      <c r="G183" s="3" t="s">
        <v>79</v>
      </c>
      <c r="H183" s="3" t="s">
        <v>46</v>
      </c>
      <c r="I183" s="3">
        <v>4280</v>
      </c>
      <c r="J183" s="3">
        <v>188</v>
      </c>
      <c r="K183" s="3">
        <v>188</v>
      </c>
      <c r="L183" s="18"/>
    </row>
    <row r="184" spans="1:12" ht="15.6" x14ac:dyDescent="0.35">
      <c r="A184" s="19">
        <v>188</v>
      </c>
      <c r="B184" s="3" t="s">
        <v>272</v>
      </c>
      <c r="C184" s="3" t="s">
        <v>31</v>
      </c>
      <c r="D184" s="3" t="s">
        <v>121</v>
      </c>
      <c r="E184" s="3" t="s">
        <v>27</v>
      </c>
      <c r="F184" s="3" t="s">
        <v>81</v>
      </c>
      <c r="G184" s="3" t="s">
        <v>150</v>
      </c>
      <c r="H184" s="3" t="s">
        <v>46</v>
      </c>
      <c r="I184" s="3">
        <v>8113</v>
      </c>
      <c r="J184" s="3">
        <v>189</v>
      </c>
      <c r="K184" s="3">
        <v>189</v>
      </c>
      <c r="L184" s="18"/>
    </row>
    <row r="185" spans="1:12" ht="15.6" x14ac:dyDescent="0.35">
      <c r="A185" s="19">
        <v>189</v>
      </c>
      <c r="B185" s="3" t="s">
        <v>273</v>
      </c>
      <c r="C185" s="3" t="s">
        <v>31</v>
      </c>
      <c r="D185" s="3" t="s">
        <v>121</v>
      </c>
      <c r="E185" s="3" t="s">
        <v>18</v>
      </c>
      <c r="F185" s="3" t="s">
        <v>83</v>
      </c>
      <c r="G185" s="3" t="s">
        <v>20</v>
      </c>
      <c r="H185" s="3" t="s">
        <v>46</v>
      </c>
      <c r="I185" s="3">
        <v>4722</v>
      </c>
      <c r="J185" s="3">
        <v>190</v>
      </c>
      <c r="K185" s="3">
        <v>190</v>
      </c>
      <c r="L185" s="18"/>
    </row>
    <row r="186" spans="1:12" ht="15.6" x14ac:dyDescent="0.35">
      <c r="A186" s="19">
        <v>190</v>
      </c>
      <c r="B186" s="3" t="s">
        <v>274</v>
      </c>
      <c r="C186" s="3" t="s">
        <v>31</v>
      </c>
      <c r="D186" s="3" t="s">
        <v>121</v>
      </c>
      <c r="E186" s="3" t="s">
        <v>13</v>
      </c>
      <c r="F186" s="3" t="s">
        <v>85</v>
      </c>
      <c r="G186" s="3" t="s">
        <v>86</v>
      </c>
      <c r="H186" s="3" t="s">
        <v>46</v>
      </c>
      <c r="I186" s="3">
        <v>7358</v>
      </c>
      <c r="J186" s="3">
        <v>191</v>
      </c>
      <c r="K186" s="3">
        <v>191</v>
      </c>
      <c r="L186" s="18"/>
    </row>
    <row r="187" spans="1:12" ht="15.6" x14ac:dyDescent="0.35">
      <c r="A187" s="19">
        <v>191</v>
      </c>
      <c r="B187" s="3" t="s">
        <v>275</v>
      </c>
      <c r="C187" s="3" t="s">
        <v>31</v>
      </c>
      <c r="D187" s="3" t="s">
        <v>121</v>
      </c>
      <c r="E187" s="3" t="s">
        <v>13</v>
      </c>
      <c r="F187" s="3" t="s">
        <v>88</v>
      </c>
      <c r="G187" s="3" t="s">
        <v>89</v>
      </c>
      <c r="H187" s="3" t="s">
        <v>46</v>
      </c>
      <c r="I187" s="3">
        <v>2970</v>
      </c>
      <c r="J187" s="3">
        <v>192</v>
      </c>
      <c r="K187" s="3">
        <v>192</v>
      </c>
      <c r="L187" s="18"/>
    </row>
    <row r="188" spans="1:12" ht="15.6" x14ac:dyDescent="0.35">
      <c r="A188" s="19">
        <v>192</v>
      </c>
      <c r="B188" s="3" t="s">
        <v>276</v>
      </c>
      <c r="C188" s="3" t="s">
        <v>31</v>
      </c>
      <c r="D188" s="3" t="s">
        <v>142</v>
      </c>
      <c r="E188" s="3" t="s">
        <v>91</v>
      </c>
      <c r="F188" s="3" t="s">
        <v>92</v>
      </c>
      <c r="G188" s="3" t="s">
        <v>93</v>
      </c>
      <c r="H188" s="3" t="s">
        <v>46</v>
      </c>
      <c r="I188" s="3">
        <v>1939</v>
      </c>
      <c r="J188" s="3">
        <v>193</v>
      </c>
      <c r="K188" s="3">
        <v>193</v>
      </c>
      <c r="L188" s="18"/>
    </row>
    <row r="189" spans="1:12" ht="15.6" x14ac:dyDescent="0.35">
      <c r="A189" s="19">
        <v>193</v>
      </c>
      <c r="B189" s="3" t="s">
        <v>277</v>
      </c>
      <c r="C189" s="3" t="s">
        <v>31</v>
      </c>
      <c r="D189" s="3" t="s">
        <v>142</v>
      </c>
      <c r="E189" s="3" t="s">
        <v>13</v>
      </c>
      <c r="F189" s="3" t="s">
        <v>95</v>
      </c>
      <c r="G189" s="3" t="s">
        <v>96</v>
      </c>
      <c r="H189" s="3" t="s">
        <v>46</v>
      </c>
      <c r="I189" s="3">
        <v>5112</v>
      </c>
      <c r="J189" s="3">
        <v>194</v>
      </c>
      <c r="K189" s="3">
        <v>194</v>
      </c>
      <c r="L189" s="18"/>
    </row>
    <row r="190" spans="1:12" ht="15.6" x14ac:dyDescent="0.35">
      <c r="A190" s="19">
        <v>194</v>
      </c>
      <c r="B190" s="3" t="s">
        <v>278</v>
      </c>
      <c r="C190" s="3" t="s">
        <v>31</v>
      </c>
      <c r="D190" s="3" t="s">
        <v>142</v>
      </c>
      <c r="E190" s="3" t="s">
        <v>58</v>
      </c>
      <c r="F190" s="3" t="s">
        <v>98</v>
      </c>
      <c r="G190" s="3" t="s">
        <v>99</v>
      </c>
      <c r="H190" s="3" t="s">
        <v>46</v>
      </c>
      <c r="I190" s="3">
        <v>6357</v>
      </c>
      <c r="J190" s="3">
        <v>195</v>
      </c>
      <c r="K190" s="3">
        <v>195</v>
      </c>
      <c r="L190" s="18"/>
    </row>
    <row r="191" spans="1:12" ht="15.6" x14ac:dyDescent="0.35">
      <c r="A191" s="19">
        <v>195</v>
      </c>
      <c r="B191" s="3" t="s">
        <v>279</v>
      </c>
      <c r="C191" s="3" t="s">
        <v>31</v>
      </c>
      <c r="D191" s="3" t="s">
        <v>142</v>
      </c>
      <c r="E191" s="3" t="s">
        <v>23</v>
      </c>
      <c r="F191" s="3" t="s">
        <v>101</v>
      </c>
      <c r="G191" s="3" t="s">
        <v>25</v>
      </c>
      <c r="H191" s="3" t="s">
        <v>46</v>
      </c>
      <c r="I191" s="3">
        <v>4535</v>
      </c>
      <c r="J191" s="3">
        <v>196</v>
      </c>
      <c r="K191" s="3">
        <v>196</v>
      </c>
      <c r="L191" s="18"/>
    </row>
    <row r="192" spans="1:12" ht="15.6" x14ac:dyDescent="0.35">
      <c r="A192" s="19">
        <v>196</v>
      </c>
      <c r="B192" s="3" t="s">
        <v>280</v>
      </c>
      <c r="C192" s="3" t="s">
        <v>31</v>
      </c>
      <c r="D192" s="3" t="s">
        <v>142</v>
      </c>
      <c r="E192" s="3" t="s">
        <v>23</v>
      </c>
      <c r="F192" s="3" t="s">
        <v>24</v>
      </c>
      <c r="G192" s="3" t="s">
        <v>25</v>
      </c>
      <c r="H192" s="3" t="s">
        <v>15</v>
      </c>
      <c r="I192" s="3">
        <v>3944</v>
      </c>
      <c r="J192" s="3">
        <v>197</v>
      </c>
      <c r="K192" s="3">
        <v>197</v>
      </c>
      <c r="L192" s="18"/>
    </row>
    <row r="193" spans="1:12" ht="15.6" x14ac:dyDescent="0.35">
      <c r="A193" s="19">
        <v>197</v>
      </c>
      <c r="B193" s="3" t="s">
        <v>281</v>
      </c>
      <c r="C193" s="3" t="s">
        <v>31</v>
      </c>
      <c r="D193" s="3" t="s">
        <v>142</v>
      </c>
      <c r="E193" s="3" t="s">
        <v>58</v>
      </c>
      <c r="F193" s="3" t="s">
        <v>105</v>
      </c>
      <c r="G193" s="3" t="s">
        <v>60</v>
      </c>
      <c r="H193" s="3" t="s">
        <v>15</v>
      </c>
      <c r="I193" s="3">
        <v>2920</v>
      </c>
      <c r="J193" s="3">
        <v>198</v>
      </c>
      <c r="K193" s="3">
        <v>198</v>
      </c>
      <c r="L193" s="18"/>
    </row>
    <row r="194" spans="1:12" ht="15.6" x14ac:dyDescent="0.35">
      <c r="A194" s="19">
        <v>198</v>
      </c>
      <c r="B194" s="3" t="s">
        <v>282</v>
      </c>
      <c r="C194" s="3" t="s">
        <v>155</v>
      </c>
      <c r="D194" s="3" t="s">
        <v>174</v>
      </c>
      <c r="E194" s="3" t="s">
        <v>23</v>
      </c>
      <c r="F194" s="3" t="s">
        <v>107</v>
      </c>
      <c r="G194" s="3" t="s">
        <v>79</v>
      </c>
      <c r="H194" s="3" t="s">
        <v>15</v>
      </c>
      <c r="I194" s="3">
        <v>3074</v>
      </c>
      <c r="J194" s="3">
        <v>199</v>
      </c>
      <c r="K194" s="3">
        <v>199</v>
      </c>
      <c r="L194" s="18"/>
    </row>
    <row r="195" spans="1:12" ht="15.6" x14ac:dyDescent="0.35">
      <c r="A195" s="19">
        <v>199</v>
      </c>
      <c r="B195" s="3" t="s">
        <v>283</v>
      </c>
      <c r="C195" s="3" t="s">
        <v>155</v>
      </c>
      <c r="D195" s="3" t="s">
        <v>174</v>
      </c>
      <c r="E195" s="3" t="s">
        <v>23</v>
      </c>
      <c r="F195" s="3" t="s">
        <v>109</v>
      </c>
      <c r="G195" s="3" t="s">
        <v>25</v>
      </c>
      <c r="H195" s="3" t="s">
        <v>15</v>
      </c>
      <c r="I195" s="3">
        <v>1791</v>
      </c>
      <c r="J195" s="3">
        <v>200</v>
      </c>
      <c r="K195" s="3">
        <v>200</v>
      </c>
      <c r="L195" s="18"/>
    </row>
    <row r="196" spans="1:12" ht="15.6" x14ac:dyDescent="0.35">
      <c r="A196" s="19">
        <v>200</v>
      </c>
      <c r="B196" s="3" t="s">
        <v>284</v>
      </c>
      <c r="C196" s="3" t="s">
        <v>155</v>
      </c>
      <c r="D196" s="3" t="s">
        <v>174</v>
      </c>
      <c r="E196" s="3" t="s">
        <v>27</v>
      </c>
      <c r="F196" s="3" t="s">
        <v>111</v>
      </c>
      <c r="G196" s="3" t="s">
        <v>34</v>
      </c>
      <c r="H196" s="3" t="s">
        <v>15</v>
      </c>
      <c r="I196" s="3">
        <v>4740</v>
      </c>
      <c r="J196" s="3">
        <v>201</v>
      </c>
      <c r="K196" s="3">
        <v>201</v>
      </c>
      <c r="L196" s="18"/>
    </row>
    <row r="197" spans="1:12" ht="15.6" x14ac:dyDescent="0.35">
      <c r="A197" s="19">
        <v>201</v>
      </c>
      <c r="B197" s="3" t="s">
        <v>285</v>
      </c>
      <c r="C197" s="3" t="s">
        <v>155</v>
      </c>
      <c r="D197" s="3" t="s">
        <v>174</v>
      </c>
      <c r="E197" s="3" t="s">
        <v>23</v>
      </c>
      <c r="F197" s="3" t="s">
        <v>138</v>
      </c>
      <c r="G197" s="3" t="s">
        <v>139</v>
      </c>
      <c r="H197" s="3" t="s">
        <v>46</v>
      </c>
      <c r="I197" s="3">
        <v>2665</v>
      </c>
      <c r="J197" s="3">
        <v>202</v>
      </c>
      <c r="K197" s="3">
        <v>202</v>
      </c>
      <c r="L197" s="18"/>
    </row>
    <row r="198" spans="1:12" ht="15.6" x14ac:dyDescent="0.35">
      <c r="A198" s="19">
        <v>202</v>
      </c>
      <c r="B198" s="3" t="s">
        <v>286</v>
      </c>
      <c r="C198" s="3" t="s">
        <v>155</v>
      </c>
      <c r="D198" s="3" t="s">
        <v>174</v>
      </c>
      <c r="E198" s="3" t="s">
        <v>18</v>
      </c>
      <c r="F198" s="3" t="s">
        <v>63</v>
      </c>
      <c r="G198" s="3" t="s">
        <v>40</v>
      </c>
      <c r="H198" s="3" t="s">
        <v>46</v>
      </c>
      <c r="I198" s="3">
        <v>5636</v>
      </c>
      <c r="J198" s="3">
        <v>203</v>
      </c>
      <c r="K198" s="3">
        <v>203</v>
      </c>
      <c r="L198" s="18"/>
    </row>
    <row r="199" spans="1:12" ht="15.6" x14ac:dyDescent="0.35">
      <c r="A199" s="19">
        <v>203</v>
      </c>
      <c r="B199" s="3" t="s">
        <v>287</v>
      </c>
      <c r="C199" s="3" t="s">
        <v>155</v>
      </c>
      <c r="D199" s="3" t="s">
        <v>174</v>
      </c>
      <c r="E199" s="3" t="s">
        <v>13</v>
      </c>
      <c r="F199" s="3" t="s">
        <v>65</v>
      </c>
      <c r="G199" s="3" t="s">
        <v>51</v>
      </c>
      <c r="H199" s="3" t="s">
        <v>46</v>
      </c>
      <c r="I199" s="3">
        <v>5928</v>
      </c>
      <c r="J199" s="3">
        <v>204</v>
      </c>
      <c r="K199" s="3">
        <v>204</v>
      </c>
      <c r="L199" s="18"/>
    </row>
    <row r="200" spans="1:12" ht="15.6" x14ac:dyDescent="0.35">
      <c r="A200" s="19">
        <v>204</v>
      </c>
      <c r="B200" s="3" t="s">
        <v>288</v>
      </c>
      <c r="C200" s="3" t="s">
        <v>155</v>
      </c>
      <c r="D200" s="3" t="s">
        <v>174</v>
      </c>
      <c r="E200" s="3" t="s">
        <v>13</v>
      </c>
      <c r="F200" s="3" t="s">
        <v>68</v>
      </c>
      <c r="G200" s="3" t="s">
        <v>51</v>
      </c>
      <c r="H200" s="3" t="s">
        <v>46</v>
      </c>
      <c r="I200" s="3">
        <v>9498</v>
      </c>
      <c r="J200" s="3">
        <v>205</v>
      </c>
      <c r="K200" s="3">
        <v>205</v>
      </c>
      <c r="L200" s="18"/>
    </row>
    <row r="201" spans="1:12" ht="15.6" x14ac:dyDescent="0.35">
      <c r="A201" s="19">
        <v>205</v>
      </c>
      <c r="B201" s="3" t="s">
        <v>289</v>
      </c>
      <c r="C201" s="3" t="s">
        <v>155</v>
      </c>
      <c r="D201" s="3" t="s">
        <v>174</v>
      </c>
      <c r="E201" s="3" t="s">
        <v>27</v>
      </c>
      <c r="F201" s="3" t="s">
        <v>70</v>
      </c>
      <c r="G201" s="3" t="s">
        <v>29</v>
      </c>
      <c r="H201" s="3" t="s">
        <v>46</v>
      </c>
      <c r="I201" s="3">
        <v>9558</v>
      </c>
      <c r="J201" s="3">
        <v>206</v>
      </c>
      <c r="K201" s="3">
        <v>206</v>
      </c>
      <c r="L201" s="18"/>
    </row>
    <row r="202" spans="1:12" ht="15.6" x14ac:dyDescent="0.35">
      <c r="A202" s="19">
        <v>206</v>
      </c>
      <c r="B202" s="3" t="s">
        <v>290</v>
      </c>
      <c r="C202" s="3" t="s">
        <v>11</v>
      </c>
      <c r="D202" s="3" t="s">
        <v>12</v>
      </c>
      <c r="E202" s="3" t="s">
        <v>27</v>
      </c>
      <c r="F202" s="3" t="s">
        <v>72</v>
      </c>
      <c r="G202" s="3" t="s">
        <v>29</v>
      </c>
      <c r="H202" s="3" t="s">
        <v>46</v>
      </c>
      <c r="I202" s="3">
        <v>2428</v>
      </c>
      <c r="J202" s="3">
        <v>207</v>
      </c>
      <c r="K202" s="3">
        <v>207</v>
      </c>
      <c r="L202" s="18"/>
    </row>
    <row r="203" spans="1:12" ht="15.6" x14ac:dyDescent="0.35">
      <c r="A203" s="19">
        <v>207</v>
      </c>
      <c r="B203" s="3" t="s">
        <v>291</v>
      </c>
      <c r="C203" s="3" t="s">
        <v>11</v>
      </c>
      <c r="D203" s="3" t="s">
        <v>22</v>
      </c>
      <c r="E203" s="3" t="s">
        <v>13</v>
      </c>
      <c r="F203" s="3" t="s">
        <v>74</v>
      </c>
      <c r="G203" s="3" t="s">
        <v>45</v>
      </c>
      <c r="H203" s="3" t="s">
        <v>46</v>
      </c>
      <c r="I203" s="3">
        <v>7389</v>
      </c>
      <c r="J203" s="3">
        <v>208</v>
      </c>
      <c r="K203" s="3">
        <v>208</v>
      </c>
      <c r="L203" s="18"/>
    </row>
    <row r="204" spans="1:12" ht="15.6" x14ac:dyDescent="0.35">
      <c r="A204" s="19">
        <v>208</v>
      </c>
      <c r="B204" s="3" t="s">
        <v>292</v>
      </c>
      <c r="C204" s="3" t="s">
        <v>11</v>
      </c>
      <c r="D204" s="3" t="s">
        <v>22</v>
      </c>
      <c r="E204" s="3" t="s">
        <v>13</v>
      </c>
      <c r="F204" s="3" t="s">
        <v>76</v>
      </c>
      <c r="G204" s="3" t="s">
        <v>51</v>
      </c>
      <c r="H204" s="3" t="s">
        <v>15</v>
      </c>
      <c r="I204" s="3">
        <v>3703</v>
      </c>
      <c r="J204" s="3">
        <v>209</v>
      </c>
      <c r="K204" s="3">
        <v>209</v>
      </c>
      <c r="L204" s="18"/>
    </row>
    <row r="205" spans="1:12" ht="15.6" x14ac:dyDescent="0.35">
      <c r="A205" s="19">
        <v>209</v>
      </c>
      <c r="B205" s="3" t="s">
        <v>293</v>
      </c>
      <c r="C205" s="3" t="s">
        <v>11</v>
      </c>
      <c r="D205" s="3" t="s">
        <v>22</v>
      </c>
      <c r="E205" s="3" t="s">
        <v>23</v>
      </c>
      <c r="F205" s="3" t="s">
        <v>78</v>
      </c>
      <c r="G205" s="3" t="s">
        <v>79</v>
      </c>
      <c r="H205" s="3" t="s">
        <v>15</v>
      </c>
      <c r="I205" s="3">
        <v>6133</v>
      </c>
      <c r="J205" s="3">
        <v>210</v>
      </c>
      <c r="K205" s="3">
        <v>210</v>
      </c>
      <c r="L205" s="18"/>
    </row>
    <row r="206" spans="1:12" ht="15.6" x14ac:dyDescent="0.35">
      <c r="A206" s="19">
        <v>210</v>
      </c>
      <c r="B206" s="3" t="s">
        <v>294</v>
      </c>
      <c r="C206" s="3" t="s">
        <v>31</v>
      </c>
      <c r="D206" s="3" t="s">
        <v>32</v>
      </c>
      <c r="E206" s="3" t="s">
        <v>27</v>
      </c>
      <c r="F206" s="3" t="s">
        <v>81</v>
      </c>
      <c r="G206" s="3" t="s">
        <v>150</v>
      </c>
      <c r="H206" s="3" t="s">
        <v>15</v>
      </c>
      <c r="I206" s="3">
        <v>7380</v>
      </c>
      <c r="J206" s="3">
        <v>211</v>
      </c>
      <c r="K206" s="3">
        <v>211</v>
      </c>
      <c r="L206" s="18"/>
    </row>
    <row r="207" spans="1:12" ht="15.6" x14ac:dyDescent="0.35">
      <c r="A207" s="19">
        <v>211</v>
      </c>
      <c r="B207" s="3" t="s">
        <v>295</v>
      </c>
      <c r="C207" s="3" t="s">
        <v>31</v>
      </c>
      <c r="D207" s="3" t="s">
        <v>32</v>
      </c>
      <c r="E207" s="3" t="s">
        <v>18</v>
      </c>
      <c r="F207" s="3" t="s">
        <v>83</v>
      </c>
      <c r="G207" s="3" t="s">
        <v>20</v>
      </c>
      <c r="H207" s="3" t="s">
        <v>15</v>
      </c>
      <c r="I207" s="3">
        <v>2440</v>
      </c>
      <c r="J207" s="3">
        <v>212</v>
      </c>
      <c r="K207" s="3">
        <v>212</v>
      </c>
      <c r="L207" s="18"/>
    </row>
    <row r="208" spans="1:12" ht="15.6" x14ac:dyDescent="0.35">
      <c r="A208" s="19">
        <v>212</v>
      </c>
      <c r="B208" s="3" t="s">
        <v>296</v>
      </c>
      <c r="C208" s="3" t="s">
        <v>31</v>
      </c>
      <c r="D208" s="3" t="s">
        <v>32</v>
      </c>
      <c r="E208" s="3" t="s">
        <v>13</v>
      </c>
      <c r="F208" s="3" t="s">
        <v>85</v>
      </c>
      <c r="G208" s="3" t="s">
        <v>86</v>
      </c>
      <c r="H208" s="3" t="s">
        <v>46</v>
      </c>
      <c r="I208" s="3">
        <v>4296</v>
      </c>
      <c r="J208" s="3">
        <v>213</v>
      </c>
      <c r="K208" s="3">
        <v>213</v>
      </c>
      <c r="L208" s="18"/>
    </row>
    <row r="209" spans="1:12" ht="15.6" x14ac:dyDescent="0.35">
      <c r="A209" s="19">
        <v>213</v>
      </c>
      <c r="B209" s="3" t="s">
        <v>297</v>
      </c>
      <c r="C209" s="3" t="s">
        <v>31</v>
      </c>
      <c r="D209" s="3" t="s">
        <v>32</v>
      </c>
      <c r="E209" s="3" t="s">
        <v>13</v>
      </c>
      <c r="F209" s="3" t="s">
        <v>88</v>
      </c>
      <c r="G209" s="3" t="s">
        <v>89</v>
      </c>
      <c r="H209" s="3" t="s">
        <v>15</v>
      </c>
      <c r="I209" s="3">
        <v>9072</v>
      </c>
      <c r="J209" s="3">
        <v>214</v>
      </c>
      <c r="K209" s="3">
        <v>214</v>
      </c>
      <c r="L209" s="18"/>
    </row>
    <row r="210" spans="1:12" ht="15.6" x14ac:dyDescent="0.35">
      <c r="A210" s="19">
        <v>214</v>
      </c>
      <c r="B210" s="3" t="s">
        <v>298</v>
      </c>
      <c r="C210" s="3" t="s">
        <v>11</v>
      </c>
      <c r="D210" s="3" t="s">
        <v>12</v>
      </c>
      <c r="E210" s="3" t="s">
        <v>91</v>
      </c>
      <c r="F210" s="3" t="s">
        <v>92</v>
      </c>
      <c r="G210" s="3" t="s">
        <v>93</v>
      </c>
      <c r="H210" s="3" t="s">
        <v>15</v>
      </c>
      <c r="I210" s="3">
        <v>6331</v>
      </c>
      <c r="J210" s="3">
        <v>215</v>
      </c>
      <c r="K210" s="3">
        <v>215</v>
      </c>
      <c r="L210" s="18"/>
    </row>
    <row r="211" spans="1:12" ht="15.6" x14ac:dyDescent="0.35">
      <c r="A211" s="19">
        <v>215</v>
      </c>
      <c r="B211" s="3" t="s">
        <v>299</v>
      </c>
      <c r="C211" s="3" t="s">
        <v>11</v>
      </c>
      <c r="D211" s="3" t="s">
        <v>12</v>
      </c>
      <c r="E211" s="3" t="s">
        <v>13</v>
      </c>
      <c r="F211" s="3" t="s">
        <v>95</v>
      </c>
      <c r="G211" s="3" t="s">
        <v>96</v>
      </c>
      <c r="H211" s="3" t="s">
        <v>15</v>
      </c>
      <c r="I211" s="3">
        <v>5511</v>
      </c>
      <c r="J211" s="3">
        <v>216</v>
      </c>
      <c r="K211" s="3">
        <v>216</v>
      </c>
      <c r="L211" s="18"/>
    </row>
    <row r="212" spans="1:12" ht="15.6" x14ac:dyDescent="0.35">
      <c r="A212" s="19">
        <v>216</v>
      </c>
      <c r="B212" s="3" t="s">
        <v>300</v>
      </c>
      <c r="C212" s="3" t="s">
        <v>11</v>
      </c>
      <c r="D212" s="3" t="s">
        <v>12</v>
      </c>
      <c r="E212" s="3" t="s">
        <v>58</v>
      </c>
      <c r="F212" s="3" t="s">
        <v>98</v>
      </c>
      <c r="G212" s="3" t="s">
        <v>99</v>
      </c>
      <c r="H212" s="3" t="s">
        <v>15</v>
      </c>
      <c r="I212" s="3">
        <v>7070</v>
      </c>
      <c r="J212" s="3">
        <v>217</v>
      </c>
      <c r="K212" s="3">
        <v>217</v>
      </c>
      <c r="L212" s="18"/>
    </row>
    <row r="213" spans="1:12" ht="15.6" x14ac:dyDescent="0.35">
      <c r="A213" s="19">
        <v>217</v>
      </c>
      <c r="B213" s="3" t="s">
        <v>301</v>
      </c>
      <c r="C213" s="3" t="s">
        <v>11</v>
      </c>
      <c r="D213" s="3" t="s">
        <v>12</v>
      </c>
      <c r="E213" s="3" t="s">
        <v>23</v>
      </c>
      <c r="F213" s="3" t="s">
        <v>101</v>
      </c>
      <c r="G213" s="3" t="s">
        <v>25</v>
      </c>
      <c r="H213" s="3" t="s">
        <v>46</v>
      </c>
      <c r="I213" s="3">
        <v>4761</v>
      </c>
      <c r="J213" s="3">
        <v>218</v>
      </c>
      <c r="K213" s="3">
        <v>218</v>
      </c>
      <c r="L213" s="18"/>
    </row>
    <row r="214" spans="1:12" ht="15.6" x14ac:dyDescent="0.35">
      <c r="A214" s="19">
        <v>218</v>
      </c>
      <c r="B214" s="3" t="s">
        <v>302</v>
      </c>
      <c r="C214" s="3" t="s">
        <v>11</v>
      </c>
      <c r="D214" s="3" t="s">
        <v>12</v>
      </c>
      <c r="E214" s="3" t="s">
        <v>23</v>
      </c>
      <c r="F214" s="3" t="s">
        <v>24</v>
      </c>
      <c r="G214" s="3" t="s">
        <v>25</v>
      </c>
      <c r="H214" s="3" t="s">
        <v>46</v>
      </c>
      <c r="I214" s="3">
        <v>8127</v>
      </c>
      <c r="J214" s="3">
        <v>219</v>
      </c>
      <c r="K214" s="3">
        <v>219</v>
      </c>
      <c r="L214" s="18"/>
    </row>
    <row r="215" spans="1:12" ht="15.6" x14ac:dyDescent="0.35">
      <c r="A215" s="19">
        <v>219</v>
      </c>
      <c r="B215" s="3" t="s">
        <v>303</v>
      </c>
      <c r="C215" s="3" t="s">
        <v>11</v>
      </c>
      <c r="D215" s="3" t="s">
        <v>12</v>
      </c>
      <c r="E215" s="3" t="s">
        <v>58</v>
      </c>
      <c r="F215" s="3" t="s">
        <v>105</v>
      </c>
      <c r="G215" s="3" t="s">
        <v>60</v>
      </c>
      <c r="H215" s="3" t="s">
        <v>46</v>
      </c>
      <c r="I215" s="3">
        <v>7794</v>
      </c>
      <c r="J215" s="3">
        <v>220</v>
      </c>
      <c r="K215" s="3">
        <v>220</v>
      </c>
      <c r="L215" s="18"/>
    </row>
    <row r="216" spans="1:12" ht="15.6" x14ac:dyDescent="0.35">
      <c r="A216" s="19">
        <v>220</v>
      </c>
      <c r="B216" s="3" t="s">
        <v>304</v>
      </c>
      <c r="C216" s="3" t="s">
        <v>31</v>
      </c>
      <c r="D216" s="3" t="s">
        <v>62</v>
      </c>
      <c r="E216" s="3" t="s">
        <v>23</v>
      </c>
      <c r="F216" s="3" t="s">
        <v>107</v>
      </c>
      <c r="G216" s="3" t="s">
        <v>79</v>
      </c>
      <c r="H216" s="3" t="s">
        <v>46</v>
      </c>
      <c r="I216" s="3">
        <v>7427</v>
      </c>
      <c r="J216" s="3">
        <v>221</v>
      </c>
      <c r="K216" s="3">
        <v>221</v>
      </c>
      <c r="L216" s="18"/>
    </row>
    <row r="217" spans="1:12" ht="15.6" x14ac:dyDescent="0.35">
      <c r="A217" s="19">
        <v>221</v>
      </c>
      <c r="B217" s="3" t="s">
        <v>305</v>
      </c>
      <c r="C217" s="3" t="s">
        <v>31</v>
      </c>
      <c r="D217" s="3" t="s">
        <v>62</v>
      </c>
      <c r="E217" s="3" t="s">
        <v>23</v>
      </c>
      <c r="F217" s="3" t="s">
        <v>109</v>
      </c>
      <c r="G217" s="3" t="s">
        <v>25</v>
      </c>
      <c r="H217" s="3" t="s">
        <v>46</v>
      </c>
      <c r="I217" s="3">
        <v>1929</v>
      </c>
      <c r="J217" s="3">
        <v>222</v>
      </c>
      <c r="K217" s="3">
        <v>222</v>
      </c>
      <c r="L217" s="18"/>
    </row>
    <row r="218" spans="1:12" ht="15.6" x14ac:dyDescent="0.35">
      <c r="A218" s="19">
        <v>222</v>
      </c>
      <c r="B218" s="3" t="s">
        <v>306</v>
      </c>
      <c r="C218" s="3" t="s">
        <v>31</v>
      </c>
      <c r="D218" s="3" t="s">
        <v>62</v>
      </c>
      <c r="E218" s="3" t="s">
        <v>27</v>
      </c>
      <c r="F218" s="3" t="s">
        <v>111</v>
      </c>
      <c r="G218" s="3" t="s">
        <v>34</v>
      </c>
      <c r="H218" s="3" t="s">
        <v>46</v>
      </c>
      <c r="I218" s="3">
        <v>5142</v>
      </c>
      <c r="J218" s="3">
        <v>223</v>
      </c>
      <c r="K218" s="3">
        <v>223</v>
      </c>
      <c r="L218" s="18"/>
    </row>
    <row r="219" spans="1:12" ht="15.6" x14ac:dyDescent="0.35">
      <c r="A219" s="19">
        <v>223</v>
      </c>
      <c r="B219" s="3" t="s">
        <v>307</v>
      </c>
      <c r="C219" s="3" t="s">
        <v>31</v>
      </c>
      <c r="D219" s="3" t="s">
        <v>62</v>
      </c>
      <c r="E219" s="3" t="s">
        <v>13</v>
      </c>
      <c r="F219" s="3" t="s">
        <v>14</v>
      </c>
      <c r="G219" s="3" t="s">
        <v>14</v>
      </c>
      <c r="H219" s="3" t="s">
        <v>46</v>
      </c>
      <c r="I219" s="3">
        <v>6102</v>
      </c>
      <c r="J219" s="3">
        <v>224</v>
      </c>
      <c r="K219" s="3">
        <v>224</v>
      </c>
      <c r="L219" s="18"/>
    </row>
    <row r="220" spans="1:12" ht="15.6" x14ac:dyDescent="0.35">
      <c r="A220" s="19">
        <v>224</v>
      </c>
      <c r="B220" s="3" t="s">
        <v>308</v>
      </c>
      <c r="C220" s="3" t="s">
        <v>31</v>
      </c>
      <c r="D220" s="3" t="s">
        <v>62</v>
      </c>
      <c r="E220" s="3" t="s">
        <v>18</v>
      </c>
      <c r="F220" s="3" t="s">
        <v>19</v>
      </c>
      <c r="G220" s="3" t="s">
        <v>20</v>
      </c>
      <c r="H220" s="3" t="s">
        <v>46</v>
      </c>
      <c r="I220" s="3">
        <v>8613</v>
      </c>
      <c r="J220" s="3">
        <v>225</v>
      </c>
      <c r="K220" s="3">
        <v>225</v>
      </c>
      <c r="L220" s="18"/>
    </row>
    <row r="221" spans="1:12" ht="15.6" x14ac:dyDescent="0.35">
      <c r="A221" s="19">
        <v>225</v>
      </c>
      <c r="B221" s="3" t="s">
        <v>309</v>
      </c>
      <c r="C221" s="3" t="s">
        <v>31</v>
      </c>
      <c r="D221" s="3" t="s">
        <v>62</v>
      </c>
      <c r="E221" s="3" t="s">
        <v>23</v>
      </c>
      <c r="F221" s="3" t="s">
        <v>24</v>
      </c>
      <c r="G221" s="3" t="s">
        <v>25</v>
      </c>
      <c r="H221" s="3" t="s">
        <v>46</v>
      </c>
      <c r="I221" s="3">
        <v>1735</v>
      </c>
      <c r="J221" s="3">
        <v>226</v>
      </c>
      <c r="K221" s="3">
        <v>226</v>
      </c>
      <c r="L221" s="18"/>
    </row>
    <row r="222" spans="1:12" ht="15.6" x14ac:dyDescent="0.35">
      <c r="A222" s="19">
        <v>226</v>
      </c>
      <c r="B222" s="3" t="s">
        <v>310</v>
      </c>
      <c r="C222" s="3" t="s">
        <v>31</v>
      </c>
      <c r="D222" s="3" t="s">
        <v>62</v>
      </c>
      <c r="E222" s="3" t="s">
        <v>27</v>
      </c>
      <c r="F222" s="3" t="s">
        <v>28</v>
      </c>
      <c r="G222" s="3" t="s">
        <v>29</v>
      </c>
      <c r="H222" s="3" t="s">
        <v>46</v>
      </c>
      <c r="I222" s="3">
        <v>4013</v>
      </c>
      <c r="J222" s="3">
        <v>227</v>
      </c>
      <c r="K222" s="3">
        <v>227</v>
      </c>
      <c r="L222" s="18"/>
    </row>
    <row r="223" spans="1:12" ht="15.6" x14ac:dyDescent="0.35">
      <c r="A223" s="19">
        <v>227</v>
      </c>
      <c r="B223" s="3" t="s">
        <v>311</v>
      </c>
      <c r="C223" s="3" t="s">
        <v>11</v>
      </c>
      <c r="D223" s="3" t="s">
        <v>67</v>
      </c>
      <c r="E223" s="3" t="s">
        <v>27</v>
      </c>
      <c r="F223" s="3" t="s">
        <v>33</v>
      </c>
      <c r="G223" s="3" t="s">
        <v>34</v>
      </c>
      <c r="H223" s="3" t="s">
        <v>15</v>
      </c>
      <c r="I223" s="3">
        <v>1882</v>
      </c>
      <c r="J223" s="3">
        <v>228</v>
      </c>
      <c r="K223" s="3">
        <v>228</v>
      </c>
      <c r="L223" s="18"/>
    </row>
    <row r="224" spans="1:12" ht="15.6" x14ac:dyDescent="0.35">
      <c r="A224" s="19">
        <v>228</v>
      </c>
      <c r="B224" s="3" t="s">
        <v>312</v>
      </c>
      <c r="C224" s="3" t="s">
        <v>11</v>
      </c>
      <c r="D224" s="3" t="s">
        <v>67</v>
      </c>
      <c r="E224" s="3" t="s">
        <v>27</v>
      </c>
      <c r="F224" s="3" t="s">
        <v>36</v>
      </c>
      <c r="G224" s="3" t="s">
        <v>37</v>
      </c>
      <c r="H224" s="3" t="s">
        <v>15</v>
      </c>
      <c r="I224" s="3">
        <v>3794</v>
      </c>
      <c r="J224" s="3">
        <v>229</v>
      </c>
      <c r="K224" s="3">
        <v>229</v>
      </c>
      <c r="L224" s="18"/>
    </row>
    <row r="225" spans="1:12" ht="15.6" x14ac:dyDescent="0.35">
      <c r="A225" s="19">
        <v>229</v>
      </c>
      <c r="B225" s="3" t="s">
        <v>313</v>
      </c>
      <c r="C225" s="3" t="s">
        <v>11</v>
      </c>
      <c r="D225" s="3" t="s">
        <v>67</v>
      </c>
      <c r="E225" s="3" t="s">
        <v>18</v>
      </c>
      <c r="F225" s="3" t="s">
        <v>39</v>
      </c>
      <c r="G225" s="3" t="s">
        <v>40</v>
      </c>
      <c r="H225" s="3" t="s">
        <v>15</v>
      </c>
      <c r="I225" s="3">
        <v>2105</v>
      </c>
      <c r="J225" s="3">
        <v>230</v>
      </c>
      <c r="K225" s="3">
        <v>230</v>
      </c>
      <c r="L225" s="18"/>
    </row>
    <row r="226" spans="1:12" ht="15.6" x14ac:dyDescent="0.35">
      <c r="A226" s="19">
        <v>230</v>
      </c>
      <c r="B226" s="3" t="s">
        <v>314</v>
      </c>
      <c r="C226" s="3" t="s">
        <v>11</v>
      </c>
      <c r="D226" s="3" t="s">
        <v>67</v>
      </c>
      <c r="E226" s="3" t="s">
        <v>18</v>
      </c>
      <c r="F226" s="3" t="s">
        <v>42</v>
      </c>
      <c r="G226" s="3" t="s">
        <v>20</v>
      </c>
      <c r="H226" s="3" t="s">
        <v>15</v>
      </c>
      <c r="I226" s="3">
        <v>7654</v>
      </c>
      <c r="J226" s="3">
        <v>231</v>
      </c>
      <c r="K226" s="3">
        <v>231</v>
      </c>
      <c r="L226" s="18"/>
    </row>
    <row r="227" spans="1:12" ht="15.6" x14ac:dyDescent="0.35">
      <c r="A227" s="19">
        <v>231</v>
      </c>
      <c r="B227" s="3" t="s">
        <v>315</v>
      </c>
      <c r="C227" s="3" t="s">
        <v>11</v>
      </c>
      <c r="D227" s="3" t="s">
        <v>67</v>
      </c>
      <c r="E227" s="3" t="s">
        <v>13</v>
      </c>
      <c r="F227" s="3" t="s">
        <v>44</v>
      </c>
      <c r="G227" s="3" t="s">
        <v>45</v>
      </c>
      <c r="H227" s="3" t="s">
        <v>15</v>
      </c>
      <c r="I227" s="3">
        <v>9045</v>
      </c>
      <c r="J227" s="3">
        <v>232</v>
      </c>
      <c r="K227" s="3">
        <v>232</v>
      </c>
      <c r="L227" s="18"/>
    </row>
    <row r="228" spans="1:12" ht="15.6" x14ac:dyDescent="0.35">
      <c r="A228" s="19">
        <v>232</v>
      </c>
      <c r="B228" s="3" t="s">
        <v>316</v>
      </c>
      <c r="C228" s="3" t="s">
        <v>11</v>
      </c>
      <c r="D228" s="3" t="s">
        <v>67</v>
      </c>
      <c r="E228" s="3" t="s">
        <v>18</v>
      </c>
      <c r="F228" s="3" t="s">
        <v>48</v>
      </c>
      <c r="G228" s="3" t="s">
        <v>40</v>
      </c>
      <c r="H228" s="3" t="s">
        <v>46</v>
      </c>
      <c r="I228" s="3">
        <v>2088</v>
      </c>
      <c r="J228" s="3">
        <v>233</v>
      </c>
      <c r="K228" s="3">
        <v>233</v>
      </c>
      <c r="L228" s="18"/>
    </row>
    <row r="229" spans="1:12" ht="15.6" x14ac:dyDescent="0.35">
      <c r="A229" s="19">
        <v>233</v>
      </c>
      <c r="B229" s="3" t="s">
        <v>317</v>
      </c>
      <c r="C229" s="3" t="s">
        <v>11</v>
      </c>
      <c r="D229" s="3" t="s">
        <v>67</v>
      </c>
      <c r="E229" s="3" t="s">
        <v>13</v>
      </c>
      <c r="F229" s="3" t="s">
        <v>50</v>
      </c>
      <c r="G229" s="3" t="s">
        <v>51</v>
      </c>
      <c r="H229" s="3" t="s">
        <v>46</v>
      </c>
      <c r="I229" s="3">
        <v>3793</v>
      </c>
      <c r="J229" s="3">
        <v>234</v>
      </c>
      <c r="K229" s="3">
        <v>234</v>
      </c>
      <c r="L229" s="18"/>
    </row>
    <row r="230" spans="1:12" ht="15.6" x14ac:dyDescent="0.35">
      <c r="A230" s="19">
        <v>234</v>
      </c>
      <c r="B230" s="3" t="s">
        <v>318</v>
      </c>
      <c r="C230" s="3" t="s">
        <v>11</v>
      </c>
      <c r="D230" s="3" t="s">
        <v>67</v>
      </c>
      <c r="E230" s="3" t="s">
        <v>13</v>
      </c>
      <c r="F230" s="3" t="s">
        <v>53</v>
      </c>
      <c r="G230" s="3" t="s">
        <v>51</v>
      </c>
      <c r="H230" s="3" t="s">
        <v>46</v>
      </c>
      <c r="I230" s="3">
        <v>6566</v>
      </c>
      <c r="J230" s="3">
        <v>235</v>
      </c>
      <c r="K230" s="3">
        <v>235</v>
      </c>
      <c r="L230" s="18"/>
    </row>
    <row r="231" spans="1:12" ht="15.6" x14ac:dyDescent="0.35">
      <c r="A231" s="19">
        <v>235</v>
      </c>
      <c r="B231" s="3" t="s">
        <v>319</v>
      </c>
      <c r="C231" s="3" t="s">
        <v>11</v>
      </c>
      <c r="D231" s="3" t="s">
        <v>67</v>
      </c>
      <c r="E231" s="3" t="s">
        <v>18</v>
      </c>
      <c r="F231" s="3" t="s">
        <v>56</v>
      </c>
      <c r="G231" s="3" t="s">
        <v>20</v>
      </c>
      <c r="H231" s="3" t="s">
        <v>15</v>
      </c>
      <c r="I231" s="3">
        <v>5152</v>
      </c>
      <c r="J231" s="3">
        <v>236</v>
      </c>
      <c r="K231" s="3">
        <v>236</v>
      </c>
      <c r="L231" s="18"/>
    </row>
    <row r="232" spans="1:12" ht="15.6" x14ac:dyDescent="0.35">
      <c r="A232" s="19">
        <v>236</v>
      </c>
      <c r="B232" s="3" t="s">
        <v>320</v>
      </c>
      <c r="C232" s="3" t="s">
        <v>11</v>
      </c>
      <c r="D232" s="3" t="s">
        <v>67</v>
      </c>
      <c r="E232" s="3" t="s">
        <v>58</v>
      </c>
      <c r="F232" s="3" t="s">
        <v>59</v>
      </c>
      <c r="G232" s="3" t="s">
        <v>60</v>
      </c>
      <c r="H232" s="3" t="s">
        <v>15</v>
      </c>
      <c r="I232" s="3">
        <v>2714</v>
      </c>
      <c r="J232" s="3">
        <v>237</v>
      </c>
      <c r="K232" s="3">
        <v>237</v>
      </c>
      <c r="L232" s="18"/>
    </row>
    <row r="233" spans="1:12" ht="15.6" x14ac:dyDescent="0.35">
      <c r="A233" s="19">
        <v>237</v>
      </c>
      <c r="B233" s="3" t="s">
        <v>321</v>
      </c>
      <c r="C233" s="3" t="s">
        <v>11</v>
      </c>
      <c r="D233" s="3" t="s">
        <v>67</v>
      </c>
      <c r="E233" s="3" t="s">
        <v>18</v>
      </c>
      <c r="F233" s="3" t="s">
        <v>128</v>
      </c>
      <c r="G233" s="3" t="s">
        <v>20</v>
      </c>
      <c r="H233" s="3" t="s">
        <v>15</v>
      </c>
      <c r="I233" s="3">
        <v>7249</v>
      </c>
      <c r="J233" s="3">
        <v>238</v>
      </c>
      <c r="K233" s="3">
        <v>238</v>
      </c>
      <c r="L233" s="18"/>
    </row>
    <row r="234" spans="1:12" ht="15.6" x14ac:dyDescent="0.35">
      <c r="A234" s="19">
        <v>238</v>
      </c>
      <c r="B234" s="3" t="s">
        <v>322</v>
      </c>
      <c r="C234" s="3" t="s">
        <v>11</v>
      </c>
      <c r="D234" s="3" t="s">
        <v>67</v>
      </c>
      <c r="E234" s="3" t="s">
        <v>130</v>
      </c>
      <c r="F234" s="3" t="s">
        <v>131</v>
      </c>
      <c r="G234" s="3" t="s">
        <v>131</v>
      </c>
      <c r="H234" s="3" t="s">
        <v>15</v>
      </c>
      <c r="I234" s="3">
        <v>7924</v>
      </c>
      <c r="J234" s="3">
        <v>239</v>
      </c>
      <c r="K234" s="3">
        <v>239</v>
      </c>
      <c r="L234" s="18"/>
    </row>
    <row r="235" spans="1:12" ht="15.6" x14ac:dyDescent="0.35">
      <c r="A235" s="19">
        <v>239</v>
      </c>
      <c r="B235" s="3" t="s">
        <v>323</v>
      </c>
      <c r="C235" s="3" t="s">
        <v>11</v>
      </c>
      <c r="D235" s="3" t="s">
        <v>67</v>
      </c>
      <c r="E235" s="3" t="s">
        <v>58</v>
      </c>
      <c r="F235" s="3" t="s">
        <v>133</v>
      </c>
      <c r="G235" s="3" t="s">
        <v>60</v>
      </c>
      <c r="H235" s="3" t="s">
        <v>15</v>
      </c>
      <c r="I235" s="3">
        <v>6728</v>
      </c>
      <c r="J235" s="3">
        <v>240</v>
      </c>
      <c r="K235" s="3">
        <v>240</v>
      </c>
      <c r="L235" s="18"/>
    </row>
    <row r="236" spans="1:12" ht="15.6" x14ac:dyDescent="0.35">
      <c r="A236" s="19">
        <v>240</v>
      </c>
      <c r="B236" s="3" t="s">
        <v>324</v>
      </c>
      <c r="C236" s="3" t="s">
        <v>11</v>
      </c>
      <c r="D236" s="3" t="s">
        <v>67</v>
      </c>
      <c r="E236" s="3" t="s">
        <v>27</v>
      </c>
      <c r="F236" s="3" t="s">
        <v>135</v>
      </c>
      <c r="G236" s="3" t="s">
        <v>136</v>
      </c>
      <c r="H236" s="3" t="s">
        <v>46</v>
      </c>
      <c r="I236" s="3">
        <v>6384</v>
      </c>
      <c r="J236" s="3">
        <v>241</v>
      </c>
      <c r="K236" s="3">
        <v>241</v>
      </c>
      <c r="L236" s="18"/>
    </row>
    <row r="237" spans="1:12" ht="15.6" x14ac:dyDescent="0.35">
      <c r="A237" s="19">
        <v>241</v>
      </c>
      <c r="B237" s="3" t="s">
        <v>325</v>
      </c>
      <c r="C237" s="3" t="s">
        <v>11</v>
      </c>
      <c r="D237" s="3" t="s">
        <v>67</v>
      </c>
      <c r="E237" s="3" t="s">
        <v>23</v>
      </c>
      <c r="F237" s="3" t="s">
        <v>138</v>
      </c>
      <c r="G237" s="3" t="s">
        <v>139</v>
      </c>
      <c r="H237" s="3" t="s">
        <v>46</v>
      </c>
      <c r="I237" s="3">
        <v>3372</v>
      </c>
      <c r="J237" s="3">
        <v>242</v>
      </c>
      <c r="K237" s="3">
        <v>242</v>
      </c>
      <c r="L237" s="18"/>
    </row>
    <row r="238" spans="1:12" ht="15.6" x14ac:dyDescent="0.35">
      <c r="A238" s="19">
        <v>242</v>
      </c>
      <c r="B238" s="3" t="s">
        <v>326</v>
      </c>
      <c r="C238" s="3" t="s">
        <v>11</v>
      </c>
      <c r="D238" s="3" t="s">
        <v>104</v>
      </c>
      <c r="E238" s="3" t="s">
        <v>18</v>
      </c>
      <c r="F238" s="3" t="s">
        <v>63</v>
      </c>
      <c r="G238" s="3" t="s">
        <v>40</v>
      </c>
      <c r="H238" s="3" t="s">
        <v>46</v>
      </c>
      <c r="I238" s="3">
        <v>1817</v>
      </c>
      <c r="J238" s="3">
        <v>243</v>
      </c>
      <c r="K238" s="3">
        <v>243</v>
      </c>
      <c r="L238" s="18"/>
    </row>
    <row r="239" spans="1:12" ht="15.6" x14ac:dyDescent="0.35">
      <c r="A239" s="19">
        <v>243</v>
      </c>
      <c r="B239" s="3" t="s">
        <v>327</v>
      </c>
      <c r="C239" s="3" t="s">
        <v>11</v>
      </c>
      <c r="D239" s="3" t="s">
        <v>104</v>
      </c>
      <c r="E239" s="3" t="s">
        <v>13</v>
      </c>
      <c r="F239" s="3" t="s">
        <v>65</v>
      </c>
      <c r="G239" s="3" t="s">
        <v>51</v>
      </c>
      <c r="H239" s="3" t="s">
        <v>46</v>
      </c>
      <c r="I239" s="3">
        <v>3910</v>
      </c>
      <c r="J239" s="3">
        <v>244</v>
      </c>
      <c r="K239" s="3">
        <v>244</v>
      </c>
      <c r="L239" s="18"/>
    </row>
    <row r="240" spans="1:12" ht="15.6" x14ac:dyDescent="0.35">
      <c r="A240" s="19">
        <v>244</v>
      </c>
      <c r="B240" s="3" t="s">
        <v>328</v>
      </c>
      <c r="C240" s="3" t="s">
        <v>11</v>
      </c>
      <c r="D240" s="3" t="s">
        <v>104</v>
      </c>
      <c r="E240" s="3" t="s">
        <v>13</v>
      </c>
      <c r="F240" s="3" t="s">
        <v>68</v>
      </c>
      <c r="G240" s="3" t="s">
        <v>51</v>
      </c>
      <c r="H240" s="3" t="s">
        <v>46</v>
      </c>
      <c r="I240" s="3">
        <v>9238</v>
      </c>
      <c r="J240" s="3">
        <v>245</v>
      </c>
      <c r="K240" s="3">
        <v>245</v>
      </c>
      <c r="L240" s="18"/>
    </row>
    <row r="241" spans="1:12" ht="15.6" x14ac:dyDescent="0.35">
      <c r="A241" s="19">
        <v>245</v>
      </c>
      <c r="B241" s="3" t="s">
        <v>329</v>
      </c>
      <c r="C241" s="3" t="s">
        <v>11</v>
      </c>
      <c r="D241" s="3" t="s">
        <v>104</v>
      </c>
      <c r="E241" s="3" t="s">
        <v>27</v>
      </c>
      <c r="F241" s="3" t="s">
        <v>70</v>
      </c>
      <c r="G241" s="3" t="s">
        <v>29</v>
      </c>
      <c r="H241" s="3" t="s">
        <v>46</v>
      </c>
      <c r="I241" s="3">
        <v>8891</v>
      </c>
      <c r="J241" s="3">
        <v>246</v>
      </c>
      <c r="K241" s="3">
        <v>246</v>
      </c>
      <c r="L241" s="18"/>
    </row>
    <row r="242" spans="1:12" ht="15.6" x14ac:dyDescent="0.35">
      <c r="A242" s="19">
        <v>246</v>
      </c>
      <c r="B242" s="3" t="s">
        <v>330</v>
      </c>
      <c r="C242" s="3" t="s">
        <v>11</v>
      </c>
      <c r="D242" s="3" t="s">
        <v>104</v>
      </c>
      <c r="E242" s="3" t="s">
        <v>27</v>
      </c>
      <c r="F242" s="3" t="s">
        <v>72</v>
      </c>
      <c r="G242" s="3" t="s">
        <v>29</v>
      </c>
      <c r="H242" s="3" t="s">
        <v>46</v>
      </c>
      <c r="I242" s="3">
        <v>5367</v>
      </c>
      <c r="J242" s="3">
        <v>247</v>
      </c>
      <c r="K242" s="3">
        <v>247</v>
      </c>
      <c r="L242" s="18"/>
    </row>
    <row r="243" spans="1:12" ht="15.6" x14ac:dyDescent="0.35">
      <c r="A243" s="19">
        <v>247</v>
      </c>
      <c r="B243" s="3" t="s">
        <v>331</v>
      </c>
      <c r="C243" s="3" t="s">
        <v>11</v>
      </c>
      <c r="D243" s="3" t="s">
        <v>104</v>
      </c>
      <c r="E243" s="3" t="s">
        <v>13</v>
      </c>
      <c r="F243" s="3" t="s">
        <v>74</v>
      </c>
      <c r="G243" s="3" t="s">
        <v>45</v>
      </c>
      <c r="H243" s="3" t="s">
        <v>15</v>
      </c>
      <c r="I243" s="3">
        <v>5733</v>
      </c>
      <c r="J243" s="3">
        <v>248</v>
      </c>
      <c r="K243" s="3">
        <v>248</v>
      </c>
      <c r="L243" s="18"/>
    </row>
    <row r="244" spans="1:12" ht="15.6" x14ac:dyDescent="0.35">
      <c r="A244" s="19">
        <v>248</v>
      </c>
      <c r="B244" s="3" t="s">
        <v>332</v>
      </c>
      <c r="C244" s="3" t="s">
        <v>11</v>
      </c>
      <c r="D244" s="3" t="s">
        <v>104</v>
      </c>
      <c r="E244" s="3" t="s">
        <v>13</v>
      </c>
      <c r="F244" s="3" t="s">
        <v>76</v>
      </c>
      <c r="G244" s="3" t="s">
        <v>51</v>
      </c>
      <c r="H244" s="3" t="s">
        <v>15</v>
      </c>
      <c r="I244" s="3">
        <v>6120</v>
      </c>
      <c r="J244" s="3">
        <v>249</v>
      </c>
      <c r="K244" s="3">
        <v>249</v>
      </c>
      <c r="L244" s="18"/>
    </row>
    <row r="245" spans="1:12" ht="15.6" x14ac:dyDescent="0.35">
      <c r="A245" s="19">
        <v>249</v>
      </c>
      <c r="B245" s="3" t="s">
        <v>333</v>
      </c>
      <c r="C245" s="3" t="s">
        <v>11</v>
      </c>
      <c r="D245" s="3" t="s">
        <v>104</v>
      </c>
      <c r="E245" s="3" t="s">
        <v>23</v>
      </c>
      <c r="F245" s="3" t="s">
        <v>78</v>
      </c>
      <c r="G245" s="3" t="s">
        <v>79</v>
      </c>
      <c r="H245" s="3" t="s">
        <v>15</v>
      </c>
      <c r="I245" s="3">
        <v>4560</v>
      </c>
      <c r="J245" s="3">
        <v>250</v>
      </c>
      <c r="K245" s="3">
        <v>250</v>
      </c>
      <c r="L245" s="18"/>
    </row>
    <row r="246" spans="1:12" ht="15.6" x14ac:dyDescent="0.35">
      <c r="A246" s="19">
        <v>250</v>
      </c>
      <c r="B246" s="3" t="s">
        <v>334</v>
      </c>
      <c r="C246" s="3" t="s">
        <v>11</v>
      </c>
      <c r="D246" s="3" t="s">
        <v>104</v>
      </c>
      <c r="E246" s="3" t="s">
        <v>27</v>
      </c>
      <c r="F246" s="3" t="s">
        <v>81</v>
      </c>
      <c r="G246" s="3" t="s">
        <v>150</v>
      </c>
      <c r="H246" s="3" t="s">
        <v>15</v>
      </c>
      <c r="I246" s="3">
        <v>7880</v>
      </c>
      <c r="J246" s="3">
        <v>251</v>
      </c>
      <c r="K246" s="3">
        <v>251</v>
      </c>
      <c r="L246" s="18"/>
    </row>
    <row r="247" spans="1:12" ht="15.6" x14ac:dyDescent="0.35">
      <c r="A247" s="19">
        <v>251</v>
      </c>
      <c r="B247" s="3" t="s">
        <v>335</v>
      </c>
      <c r="C247" s="3" t="s">
        <v>11</v>
      </c>
      <c r="D247" s="3" t="s">
        <v>104</v>
      </c>
      <c r="E247" s="3" t="s">
        <v>18</v>
      </c>
      <c r="F247" s="3" t="s">
        <v>83</v>
      </c>
      <c r="G247" s="3" t="s">
        <v>20</v>
      </c>
      <c r="H247" s="3" t="s">
        <v>46</v>
      </c>
      <c r="I247" s="3">
        <v>4940</v>
      </c>
      <c r="J247" s="3">
        <v>252</v>
      </c>
      <c r="K247" s="3">
        <v>252</v>
      </c>
      <c r="L247" s="18"/>
    </row>
    <row r="248" spans="1:12" ht="15.6" x14ac:dyDescent="0.35">
      <c r="A248" s="19">
        <v>252</v>
      </c>
      <c r="B248" s="3" t="s">
        <v>336</v>
      </c>
      <c r="C248" s="3" t="s">
        <v>11</v>
      </c>
      <c r="D248" s="3" t="s">
        <v>104</v>
      </c>
      <c r="E248" s="3" t="s">
        <v>13</v>
      </c>
      <c r="F248" s="3" t="s">
        <v>85</v>
      </c>
      <c r="G248" s="3" t="s">
        <v>86</v>
      </c>
      <c r="H248" s="3" t="s">
        <v>15</v>
      </c>
      <c r="I248" s="3">
        <v>4721</v>
      </c>
      <c r="J248" s="3">
        <v>253</v>
      </c>
      <c r="K248" s="3">
        <v>253</v>
      </c>
      <c r="L248" s="18"/>
    </row>
    <row r="249" spans="1:12" ht="15.6" x14ac:dyDescent="0.35">
      <c r="A249" s="19">
        <v>253</v>
      </c>
      <c r="B249" s="3" t="s">
        <v>337</v>
      </c>
      <c r="C249" s="3" t="s">
        <v>11</v>
      </c>
      <c r="D249" s="3" t="s">
        <v>104</v>
      </c>
      <c r="E249" s="3" t="s">
        <v>13</v>
      </c>
      <c r="F249" s="3" t="s">
        <v>88</v>
      </c>
      <c r="G249" s="3" t="s">
        <v>89</v>
      </c>
      <c r="H249" s="3" t="s">
        <v>15</v>
      </c>
      <c r="I249" s="3">
        <v>2837</v>
      </c>
      <c r="J249" s="3">
        <v>254</v>
      </c>
      <c r="K249" s="3">
        <v>254</v>
      </c>
      <c r="L249" s="18"/>
    </row>
    <row r="250" spans="1:12" ht="15.6" x14ac:dyDescent="0.35">
      <c r="A250" s="19">
        <v>254</v>
      </c>
      <c r="B250" s="3" t="s">
        <v>196</v>
      </c>
      <c r="C250" s="3" t="s">
        <v>31</v>
      </c>
      <c r="D250" s="3" t="s">
        <v>121</v>
      </c>
      <c r="E250" s="3" t="s">
        <v>91</v>
      </c>
      <c r="F250" s="3" t="s">
        <v>92</v>
      </c>
      <c r="G250" s="3" t="s">
        <v>93</v>
      </c>
      <c r="H250" s="3" t="s">
        <v>15</v>
      </c>
      <c r="I250" s="3">
        <v>2085</v>
      </c>
      <c r="J250" s="3">
        <v>255</v>
      </c>
      <c r="K250" s="3">
        <v>255</v>
      </c>
      <c r="L250" s="18"/>
    </row>
    <row r="251" spans="1:12" ht="15.6" x14ac:dyDescent="0.35">
      <c r="A251" s="19">
        <v>255</v>
      </c>
      <c r="B251" s="3" t="s">
        <v>338</v>
      </c>
      <c r="C251" s="3" t="s">
        <v>31</v>
      </c>
      <c r="D251" s="3" t="s">
        <v>121</v>
      </c>
      <c r="E251" s="3" t="s">
        <v>13</v>
      </c>
      <c r="F251" s="3" t="s">
        <v>95</v>
      </c>
      <c r="G251" s="3" t="s">
        <v>96</v>
      </c>
      <c r="H251" s="3" t="s">
        <v>15</v>
      </c>
      <c r="I251" s="3">
        <v>2616</v>
      </c>
      <c r="J251" s="3">
        <v>256</v>
      </c>
      <c r="K251" s="3">
        <v>256</v>
      </c>
      <c r="L251" s="18"/>
    </row>
    <row r="252" spans="1:12" ht="15.6" x14ac:dyDescent="0.35">
      <c r="A252" s="19">
        <v>256</v>
      </c>
      <c r="B252" s="3" t="s">
        <v>339</v>
      </c>
      <c r="C252" s="3" t="s">
        <v>31</v>
      </c>
      <c r="D252" s="3" t="s">
        <v>121</v>
      </c>
      <c r="E252" s="3" t="s">
        <v>58</v>
      </c>
      <c r="F252" s="3" t="s">
        <v>98</v>
      </c>
      <c r="G252" s="3" t="s">
        <v>99</v>
      </c>
      <c r="H252" s="3" t="s">
        <v>46</v>
      </c>
      <c r="I252" s="3">
        <v>6023</v>
      </c>
      <c r="J252" s="3">
        <v>257</v>
      </c>
      <c r="K252" s="3">
        <v>257</v>
      </c>
      <c r="L252" s="18"/>
    </row>
    <row r="253" spans="1:12" ht="15.6" x14ac:dyDescent="0.35">
      <c r="A253" s="19">
        <v>257</v>
      </c>
      <c r="B253" s="3" t="s">
        <v>340</v>
      </c>
      <c r="C253" s="3" t="s">
        <v>31</v>
      </c>
      <c r="D253" s="3" t="s">
        <v>121</v>
      </c>
      <c r="E253" s="3" t="s">
        <v>23</v>
      </c>
      <c r="F253" s="3" t="s">
        <v>101</v>
      </c>
      <c r="G253" s="3" t="s">
        <v>25</v>
      </c>
      <c r="H253" s="3" t="s">
        <v>46</v>
      </c>
      <c r="I253" s="3">
        <v>6681</v>
      </c>
      <c r="J253" s="3">
        <v>258</v>
      </c>
      <c r="K253" s="3">
        <v>258</v>
      </c>
      <c r="L253" s="18"/>
    </row>
    <row r="254" spans="1:12" ht="15.6" x14ac:dyDescent="0.35">
      <c r="A254" s="19">
        <v>258</v>
      </c>
      <c r="B254" s="3" t="s">
        <v>341</v>
      </c>
      <c r="C254" s="3" t="s">
        <v>31</v>
      </c>
      <c r="D254" s="3" t="s">
        <v>121</v>
      </c>
      <c r="E254" s="3" t="s">
        <v>18</v>
      </c>
      <c r="F254" s="3" t="s">
        <v>63</v>
      </c>
      <c r="G254" s="3" t="s">
        <v>40</v>
      </c>
      <c r="H254" s="3" t="s">
        <v>46</v>
      </c>
      <c r="I254" s="3">
        <v>8243</v>
      </c>
      <c r="J254" s="3">
        <v>259</v>
      </c>
      <c r="K254" s="3">
        <v>259</v>
      </c>
      <c r="L254" s="18"/>
    </row>
    <row r="255" spans="1:12" ht="15.6" x14ac:dyDescent="0.35">
      <c r="A255" s="19">
        <v>259</v>
      </c>
      <c r="B255" s="3" t="s">
        <v>342</v>
      </c>
      <c r="C255" s="3" t="s">
        <v>31</v>
      </c>
      <c r="D255" s="3" t="s">
        <v>121</v>
      </c>
      <c r="E255" s="3" t="s">
        <v>13</v>
      </c>
      <c r="F255" s="3" t="s">
        <v>65</v>
      </c>
      <c r="G255" s="3" t="s">
        <v>51</v>
      </c>
      <c r="H255" s="3" t="s">
        <v>46</v>
      </c>
      <c r="I255" s="3">
        <v>9739</v>
      </c>
      <c r="J255" s="3">
        <v>260</v>
      </c>
      <c r="K255" s="3">
        <v>260</v>
      </c>
      <c r="L255" s="18"/>
    </row>
    <row r="256" spans="1:12" ht="15.6" x14ac:dyDescent="0.35">
      <c r="A256" s="19">
        <v>260</v>
      </c>
      <c r="B256" s="3" t="s">
        <v>343</v>
      </c>
      <c r="C256" s="3" t="s">
        <v>31</v>
      </c>
      <c r="D256" s="3" t="s">
        <v>121</v>
      </c>
      <c r="E256" s="3" t="s">
        <v>13</v>
      </c>
      <c r="F256" s="3" t="s">
        <v>68</v>
      </c>
      <c r="G256" s="3" t="s">
        <v>51</v>
      </c>
      <c r="H256" s="3" t="s">
        <v>46</v>
      </c>
      <c r="I256" s="3">
        <v>1974</v>
      </c>
      <c r="J256" s="3">
        <v>261</v>
      </c>
      <c r="K256" s="3">
        <v>261</v>
      </c>
      <c r="L256" s="18"/>
    </row>
    <row r="257" spans="1:12" ht="15.6" x14ac:dyDescent="0.35">
      <c r="A257" s="19">
        <v>261</v>
      </c>
      <c r="B257" s="3" t="s">
        <v>344</v>
      </c>
      <c r="C257" s="3" t="s">
        <v>31</v>
      </c>
      <c r="D257" s="3" t="s">
        <v>121</v>
      </c>
      <c r="E257" s="3" t="s">
        <v>27</v>
      </c>
      <c r="F257" s="3" t="s">
        <v>70</v>
      </c>
      <c r="G257" s="3" t="s">
        <v>29</v>
      </c>
      <c r="H257" s="3" t="s">
        <v>46</v>
      </c>
      <c r="I257" s="3">
        <v>7991</v>
      </c>
      <c r="J257" s="3">
        <v>262</v>
      </c>
      <c r="K257" s="3">
        <v>262</v>
      </c>
      <c r="L257" s="18"/>
    </row>
    <row r="258" spans="1:12" ht="15.6" x14ac:dyDescent="0.35">
      <c r="A258" s="19">
        <v>262</v>
      </c>
      <c r="B258" s="3" t="s">
        <v>345</v>
      </c>
      <c r="C258" s="3" t="s">
        <v>31</v>
      </c>
      <c r="D258" s="3" t="s">
        <v>121</v>
      </c>
      <c r="E258" s="3" t="s">
        <v>27</v>
      </c>
      <c r="F258" s="3" t="s">
        <v>72</v>
      </c>
      <c r="G258" s="3" t="s">
        <v>29</v>
      </c>
      <c r="H258" s="3" t="s">
        <v>46</v>
      </c>
      <c r="I258" s="3">
        <v>1888</v>
      </c>
      <c r="J258" s="3">
        <v>263</v>
      </c>
      <c r="K258" s="3">
        <v>263</v>
      </c>
      <c r="L258" s="18"/>
    </row>
    <row r="259" spans="1:12" ht="15.6" x14ac:dyDescent="0.35">
      <c r="A259" s="19">
        <v>263</v>
      </c>
      <c r="B259" s="3" t="s">
        <v>346</v>
      </c>
      <c r="C259" s="3" t="s">
        <v>31</v>
      </c>
      <c r="D259" s="3" t="s">
        <v>121</v>
      </c>
      <c r="E259" s="3" t="s">
        <v>13</v>
      </c>
      <c r="F259" s="3" t="s">
        <v>74</v>
      </c>
      <c r="G259" s="3" t="s">
        <v>45</v>
      </c>
      <c r="H259" s="3" t="s">
        <v>46</v>
      </c>
      <c r="I259" s="3">
        <v>3251</v>
      </c>
      <c r="J259" s="3">
        <v>264</v>
      </c>
      <c r="K259" s="3">
        <v>264</v>
      </c>
      <c r="L259" s="18"/>
    </row>
    <row r="260" spans="1:12" ht="15.6" x14ac:dyDescent="0.35">
      <c r="A260" s="19">
        <v>264</v>
      </c>
      <c r="B260" s="3" t="s">
        <v>347</v>
      </c>
      <c r="C260" s="3" t="s">
        <v>31</v>
      </c>
      <c r="D260" s="3" t="s">
        <v>121</v>
      </c>
      <c r="E260" s="3" t="s">
        <v>13</v>
      </c>
      <c r="F260" s="3" t="s">
        <v>76</v>
      </c>
      <c r="G260" s="3" t="s">
        <v>51</v>
      </c>
      <c r="H260" s="3" t="s">
        <v>46</v>
      </c>
      <c r="I260" s="3">
        <v>7341</v>
      </c>
      <c r="J260" s="3">
        <v>265</v>
      </c>
      <c r="K260" s="3">
        <v>265</v>
      </c>
      <c r="L260" s="18"/>
    </row>
    <row r="261" spans="1:12" ht="15.6" x14ac:dyDescent="0.35">
      <c r="A261" s="19">
        <v>265</v>
      </c>
      <c r="B261" s="3" t="s">
        <v>348</v>
      </c>
      <c r="C261" s="3" t="s">
        <v>31</v>
      </c>
      <c r="D261" s="3" t="s">
        <v>121</v>
      </c>
      <c r="E261" s="3" t="s">
        <v>23</v>
      </c>
      <c r="F261" s="3" t="s">
        <v>78</v>
      </c>
      <c r="G261" s="3" t="s">
        <v>79</v>
      </c>
      <c r="H261" s="3" t="s">
        <v>46</v>
      </c>
      <c r="I261" s="3">
        <v>7168</v>
      </c>
      <c r="J261" s="3">
        <v>266</v>
      </c>
      <c r="K261" s="3">
        <v>266</v>
      </c>
      <c r="L261" s="18"/>
    </row>
    <row r="262" spans="1:12" ht="15.6" x14ac:dyDescent="0.35">
      <c r="A262" s="19">
        <v>266</v>
      </c>
      <c r="B262" s="3" t="s">
        <v>349</v>
      </c>
      <c r="C262" s="3" t="s">
        <v>31</v>
      </c>
      <c r="D262" s="3" t="s">
        <v>142</v>
      </c>
      <c r="E262" s="3" t="s">
        <v>27</v>
      </c>
      <c r="F262" s="3" t="s">
        <v>81</v>
      </c>
      <c r="G262" s="3" t="s">
        <v>150</v>
      </c>
      <c r="H262" s="3" t="s">
        <v>46</v>
      </c>
      <c r="I262" s="3">
        <v>8503</v>
      </c>
      <c r="J262" s="3">
        <v>267</v>
      </c>
      <c r="K262" s="3">
        <v>267</v>
      </c>
      <c r="L262" s="18"/>
    </row>
    <row r="263" spans="1:12" ht="15.6" x14ac:dyDescent="0.35">
      <c r="A263" s="19">
        <v>267</v>
      </c>
      <c r="B263" s="3" t="s">
        <v>350</v>
      </c>
      <c r="C263" s="3" t="s">
        <v>31</v>
      </c>
      <c r="D263" s="3" t="s">
        <v>142</v>
      </c>
      <c r="E263" s="3" t="s">
        <v>18</v>
      </c>
      <c r="F263" s="3" t="s">
        <v>83</v>
      </c>
      <c r="G263" s="3" t="s">
        <v>20</v>
      </c>
      <c r="H263" s="3" t="s">
        <v>46</v>
      </c>
      <c r="I263" s="3">
        <v>3099</v>
      </c>
      <c r="J263" s="3">
        <v>268</v>
      </c>
      <c r="K263" s="3">
        <v>268</v>
      </c>
      <c r="L263" s="18"/>
    </row>
    <row r="264" spans="1:12" ht="15.6" x14ac:dyDescent="0.35">
      <c r="A264" s="19">
        <v>268</v>
      </c>
      <c r="B264" s="3" t="s">
        <v>351</v>
      </c>
      <c r="C264" s="3" t="s">
        <v>31</v>
      </c>
      <c r="D264" s="3" t="s">
        <v>142</v>
      </c>
      <c r="E264" s="3" t="s">
        <v>13</v>
      </c>
      <c r="F264" s="3" t="s">
        <v>85</v>
      </c>
      <c r="G264" s="3" t="s">
        <v>86</v>
      </c>
      <c r="H264" s="3" t="s">
        <v>46</v>
      </c>
      <c r="I264" s="3">
        <v>2916</v>
      </c>
      <c r="J264" s="3">
        <v>269</v>
      </c>
      <c r="K264" s="3">
        <v>269</v>
      </c>
      <c r="L264" s="18"/>
    </row>
    <row r="265" spans="1:12" ht="15.6" x14ac:dyDescent="0.35">
      <c r="A265" s="19">
        <v>269</v>
      </c>
      <c r="B265" s="3" t="s">
        <v>352</v>
      </c>
      <c r="C265" s="3" t="s">
        <v>31</v>
      </c>
      <c r="D265" s="3" t="s">
        <v>142</v>
      </c>
      <c r="E265" s="3" t="s">
        <v>13</v>
      </c>
      <c r="F265" s="3" t="s">
        <v>88</v>
      </c>
      <c r="G265" s="3" t="s">
        <v>89</v>
      </c>
      <c r="H265" s="3" t="s">
        <v>46</v>
      </c>
      <c r="I265" s="3">
        <v>5674</v>
      </c>
      <c r="J265" s="3">
        <v>270</v>
      </c>
      <c r="K265" s="3">
        <v>270</v>
      </c>
      <c r="L265" s="18"/>
    </row>
    <row r="266" spans="1:12" ht="15.6" x14ac:dyDescent="0.35">
      <c r="A266" s="19">
        <v>270</v>
      </c>
      <c r="B266" s="3" t="s">
        <v>353</v>
      </c>
      <c r="C266" s="3" t="s">
        <v>31</v>
      </c>
      <c r="D266" s="3" t="s">
        <v>142</v>
      </c>
      <c r="E266" s="3" t="s">
        <v>91</v>
      </c>
      <c r="F266" s="3" t="s">
        <v>92</v>
      </c>
      <c r="G266" s="3" t="s">
        <v>93</v>
      </c>
      <c r="H266" s="3" t="s">
        <v>46</v>
      </c>
      <c r="I266" s="3">
        <v>4048</v>
      </c>
      <c r="J266" s="3">
        <v>271</v>
      </c>
      <c r="K266" s="3">
        <v>271</v>
      </c>
      <c r="L266" s="18"/>
    </row>
    <row r="267" spans="1:12" ht="15.6" x14ac:dyDescent="0.35">
      <c r="A267" s="19">
        <v>271</v>
      </c>
      <c r="B267" s="3" t="s">
        <v>354</v>
      </c>
      <c r="C267" s="3" t="s">
        <v>31</v>
      </c>
      <c r="D267" s="3" t="s">
        <v>142</v>
      </c>
      <c r="E267" s="3" t="s">
        <v>13</v>
      </c>
      <c r="F267" s="3" t="s">
        <v>95</v>
      </c>
      <c r="G267" s="3" t="s">
        <v>96</v>
      </c>
      <c r="H267" s="3" t="s">
        <v>15</v>
      </c>
      <c r="I267" s="3">
        <v>1663</v>
      </c>
      <c r="J267" s="3">
        <v>272</v>
      </c>
      <c r="K267" s="3">
        <v>272</v>
      </c>
      <c r="L267" s="18"/>
    </row>
    <row r="268" spans="1:12" ht="15.6" x14ac:dyDescent="0.35">
      <c r="A268" s="19">
        <v>272</v>
      </c>
      <c r="B268" s="3" t="s">
        <v>355</v>
      </c>
      <c r="C268" s="3" t="s">
        <v>31</v>
      </c>
      <c r="D268" s="3" t="s">
        <v>142</v>
      </c>
      <c r="E268" s="3" t="s">
        <v>58</v>
      </c>
      <c r="F268" s="3" t="s">
        <v>98</v>
      </c>
      <c r="G268" s="3" t="s">
        <v>99</v>
      </c>
      <c r="H268" s="3" t="s">
        <v>15</v>
      </c>
      <c r="I268" s="3">
        <v>9541</v>
      </c>
      <c r="J268" s="3">
        <v>273</v>
      </c>
      <c r="K268" s="3">
        <v>273</v>
      </c>
      <c r="L268" s="18"/>
    </row>
    <row r="269" spans="1:12" ht="15.6" x14ac:dyDescent="0.35">
      <c r="A269" s="19">
        <v>273</v>
      </c>
      <c r="B269" s="3" t="s">
        <v>356</v>
      </c>
      <c r="C269" s="3" t="s">
        <v>31</v>
      </c>
      <c r="D269" s="3" t="s">
        <v>142</v>
      </c>
      <c r="E269" s="3" t="s">
        <v>23</v>
      </c>
      <c r="F269" s="3" t="s">
        <v>101</v>
      </c>
      <c r="G269" s="3" t="s">
        <v>25</v>
      </c>
      <c r="H269" s="3" t="s">
        <v>15</v>
      </c>
      <c r="I269" s="3">
        <v>3649</v>
      </c>
      <c r="J269" s="3">
        <v>274</v>
      </c>
      <c r="K269" s="3">
        <v>274</v>
      </c>
      <c r="L269" s="18"/>
    </row>
    <row r="270" spans="1:12" ht="15.6" x14ac:dyDescent="0.35">
      <c r="A270" s="19">
        <v>274</v>
      </c>
      <c r="B270" s="3" t="s">
        <v>357</v>
      </c>
      <c r="C270" s="3" t="s">
        <v>31</v>
      </c>
      <c r="D270" s="3" t="s">
        <v>142</v>
      </c>
      <c r="E270" s="3" t="s">
        <v>23</v>
      </c>
      <c r="F270" s="3" t="s">
        <v>24</v>
      </c>
      <c r="G270" s="3" t="s">
        <v>25</v>
      </c>
      <c r="H270" s="3" t="s">
        <v>15</v>
      </c>
      <c r="I270" s="3">
        <v>1737</v>
      </c>
      <c r="J270" s="3">
        <v>275</v>
      </c>
      <c r="K270" s="3">
        <v>275</v>
      </c>
      <c r="L270" s="18"/>
    </row>
    <row r="271" spans="1:12" ht="15.6" x14ac:dyDescent="0.35">
      <c r="A271" s="19">
        <v>275</v>
      </c>
      <c r="B271" s="3" t="s">
        <v>358</v>
      </c>
      <c r="C271" s="3" t="s">
        <v>31</v>
      </c>
      <c r="D271" s="3" t="s">
        <v>142</v>
      </c>
      <c r="E271" s="3" t="s">
        <v>58</v>
      </c>
      <c r="F271" s="3" t="s">
        <v>105</v>
      </c>
      <c r="G271" s="3" t="s">
        <v>60</v>
      </c>
      <c r="H271" s="3" t="s">
        <v>15</v>
      </c>
      <c r="I271" s="3">
        <v>7995</v>
      </c>
      <c r="J271" s="3">
        <v>276</v>
      </c>
      <c r="K271" s="3">
        <v>276</v>
      </c>
      <c r="L271" s="18"/>
    </row>
    <row r="272" spans="1:12" ht="15.6" x14ac:dyDescent="0.35">
      <c r="A272" s="19">
        <v>276</v>
      </c>
      <c r="B272" s="3" t="s">
        <v>359</v>
      </c>
      <c r="C272" s="3" t="s">
        <v>31</v>
      </c>
      <c r="D272" s="3" t="s">
        <v>142</v>
      </c>
      <c r="E272" s="3" t="s">
        <v>23</v>
      </c>
      <c r="F272" s="3" t="s">
        <v>107</v>
      </c>
      <c r="G272" s="3" t="s">
        <v>79</v>
      </c>
      <c r="H272" s="3" t="s">
        <v>46</v>
      </c>
      <c r="I272" s="3">
        <v>5228</v>
      </c>
      <c r="J272" s="3">
        <v>277</v>
      </c>
      <c r="K272" s="3">
        <v>277</v>
      </c>
      <c r="L272" s="18"/>
    </row>
    <row r="273" spans="1:12" ht="15.6" x14ac:dyDescent="0.35">
      <c r="A273" s="19">
        <v>277</v>
      </c>
      <c r="B273" s="3" t="s">
        <v>360</v>
      </c>
      <c r="C273" s="3" t="s">
        <v>155</v>
      </c>
      <c r="D273" s="3" t="s">
        <v>17</v>
      </c>
      <c r="E273" s="3" t="s">
        <v>23</v>
      </c>
      <c r="F273" s="3" t="s">
        <v>109</v>
      </c>
      <c r="G273" s="3" t="s">
        <v>25</v>
      </c>
      <c r="H273" s="3" t="s">
        <v>46</v>
      </c>
      <c r="I273" s="3">
        <v>7710</v>
      </c>
      <c r="J273" s="3">
        <v>278</v>
      </c>
      <c r="K273" s="3">
        <v>278</v>
      </c>
      <c r="L273" s="18"/>
    </row>
    <row r="274" spans="1:12" ht="15.6" x14ac:dyDescent="0.35">
      <c r="A274" s="19">
        <v>278</v>
      </c>
      <c r="B274" s="3" t="s">
        <v>361</v>
      </c>
      <c r="C274" s="3" t="s">
        <v>155</v>
      </c>
      <c r="D274" s="3" t="s">
        <v>17</v>
      </c>
      <c r="E274" s="3" t="s">
        <v>27</v>
      </c>
      <c r="F274" s="3" t="s">
        <v>111</v>
      </c>
      <c r="G274" s="3" t="s">
        <v>34</v>
      </c>
      <c r="H274" s="3" t="s">
        <v>46</v>
      </c>
      <c r="I274" s="3">
        <v>3333</v>
      </c>
      <c r="J274" s="3">
        <v>279</v>
      </c>
      <c r="K274" s="3">
        <v>279</v>
      </c>
      <c r="L274" s="18"/>
    </row>
    <row r="275" spans="1:12" ht="15.6" x14ac:dyDescent="0.35">
      <c r="A275" s="19">
        <v>279</v>
      </c>
      <c r="B275" s="3" t="s">
        <v>362</v>
      </c>
      <c r="C275" s="3" t="s">
        <v>155</v>
      </c>
      <c r="D275" s="3" t="s">
        <v>17</v>
      </c>
      <c r="E275" s="3" t="s">
        <v>13</v>
      </c>
      <c r="F275" s="3" t="s">
        <v>14</v>
      </c>
      <c r="G275" s="3" t="s">
        <v>14</v>
      </c>
      <c r="H275" s="3" t="s">
        <v>46</v>
      </c>
      <c r="I275" s="3">
        <v>9277</v>
      </c>
      <c r="J275" s="3">
        <v>280</v>
      </c>
      <c r="K275" s="3">
        <v>280</v>
      </c>
      <c r="L275" s="18"/>
    </row>
    <row r="276" spans="1:12" ht="15.6" x14ac:dyDescent="0.35">
      <c r="A276" s="19">
        <v>280</v>
      </c>
      <c r="B276" s="3" t="s">
        <v>363</v>
      </c>
      <c r="C276" s="3" t="s">
        <v>155</v>
      </c>
      <c r="D276" s="3" t="s">
        <v>17</v>
      </c>
      <c r="E276" s="3" t="s">
        <v>18</v>
      </c>
      <c r="F276" s="3" t="s">
        <v>19</v>
      </c>
      <c r="G276" s="3" t="s">
        <v>20</v>
      </c>
      <c r="H276" s="3" t="s">
        <v>46</v>
      </c>
      <c r="I276" s="3">
        <v>4277</v>
      </c>
      <c r="J276" s="3">
        <v>281</v>
      </c>
      <c r="K276" s="3">
        <v>281</v>
      </c>
      <c r="L276" s="18"/>
    </row>
    <row r="277" spans="1:12" ht="15.6" x14ac:dyDescent="0.35">
      <c r="A277" s="19">
        <v>281</v>
      </c>
      <c r="B277" s="3" t="s">
        <v>364</v>
      </c>
      <c r="C277" s="3" t="s">
        <v>155</v>
      </c>
      <c r="D277" s="3" t="s">
        <v>17</v>
      </c>
      <c r="E277" s="3" t="s">
        <v>13</v>
      </c>
      <c r="F277" s="3" t="s">
        <v>95</v>
      </c>
      <c r="G277" s="3" t="s">
        <v>96</v>
      </c>
      <c r="H277" s="3" t="s">
        <v>46</v>
      </c>
      <c r="I277" s="3">
        <v>1696</v>
      </c>
      <c r="J277" s="3">
        <v>282</v>
      </c>
      <c r="K277" s="3">
        <v>282</v>
      </c>
      <c r="L277" s="18"/>
    </row>
    <row r="278" spans="1:12" ht="15.6" x14ac:dyDescent="0.35">
      <c r="A278" s="19">
        <v>282</v>
      </c>
      <c r="B278" s="3" t="s">
        <v>365</v>
      </c>
      <c r="C278" s="3" t="s">
        <v>155</v>
      </c>
      <c r="D278" s="3" t="s">
        <v>17</v>
      </c>
      <c r="E278" s="3" t="s">
        <v>58</v>
      </c>
      <c r="F278" s="3" t="s">
        <v>98</v>
      </c>
      <c r="G278" s="3" t="s">
        <v>99</v>
      </c>
      <c r="H278" s="3" t="s">
        <v>46</v>
      </c>
      <c r="I278" s="3">
        <v>7071</v>
      </c>
      <c r="J278" s="3">
        <v>283</v>
      </c>
      <c r="K278" s="3">
        <v>283</v>
      </c>
      <c r="L278" s="18"/>
    </row>
    <row r="279" spans="1:12" ht="15.6" x14ac:dyDescent="0.35">
      <c r="A279" s="19">
        <v>283</v>
      </c>
      <c r="B279" s="3" t="s">
        <v>366</v>
      </c>
      <c r="C279" s="3" t="s">
        <v>155</v>
      </c>
      <c r="D279" s="3" t="s">
        <v>17</v>
      </c>
      <c r="E279" s="3" t="s">
        <v>23</v>
      </c>
      <c r="F279" s="3" t="s">
        <v>101</v>
      </c>
      <c r="G279" s="3" t="s">
        <v>25</v>
      </c>
      <c r="H279" s="3" t="s">
        <v>15</v>
      </c>
      <c r="I279" s="3">
        <v>2536</v>
      </c>
      <c r="J279" s="3">
        <v>284</v>
      </c>
      <c r="K279" s="3">
        <v>284</v>
      </c>
      <c r="L279" s="18"/>
    </row>
    <row r="280" spans="1:12" ht="15.6" x14ac:dyDescent="0.35">
      <c r="A280" s="19">
        <v>284</v>
      </c>
      <c r="B280" s="3" t="s">
        <v>367</v>
      </c>
      <c r="C280" s="3" t="s">
        <v>31</v>
      </c>
      <c r="D280" s="3" t="s">
        <v>121</v>
      </c>
      <c r="E280" s="3" t="s">
        <v>18</v>
      </c>
      <c r="F280" s="3" t="s">
        <v>63</v>
      </c>
      <c r="G280" s="3" t="s">
        <v>40</v>
      </c>
      <c r="H280" s="3" t="s">
        <v>15</v>
      </c>
      <c r="I280" s="3">
        <v>7823</v>
      </c>
      <c r="J280" s="3">
        <v>285</v>
      </c>
      <c r="K280" s="3">
        <v>285</v>
      </c>
      <c r="L280" s="18"/>
    </row>
    <row r="281" spans="1:12" ht="15.6" x14ac:dyDescent="0.35">
      <c r="A281" s="19">
        <v>285</v>
      </c>
      <c r="B281" s="3" t="s">
        <v>368</v>
      </c>
      <c r="C281" s="3" t="s">
        <v>31</v>
      </c>
      <c r="D281" s="3" t="s">
        <v>121</v>
      </c>
      <c r="E281" s="3" t="s">
        <v>13</v>
      </c>
      <c r="F281" s="3" t="s">
        <v>65</v>
      </c>
      <c r="G281" s="3" t="s">
        <v>51</v>
      </c>
      <c r="H281" s="3" t="s">
        <v>15</v>
      </c>
      <c r="I281" s="3">
        <v>7275</v>
      </c>
      <c r="J281" s="3">
        <v>286</v>
      </c>
      <c r="K281" s="3">
        <v>286</v>
      </c>
      <c r="L281" s="18"/>
    </row>
    <row r="282" spans="1:12" ht="15.6" x14ac:dyDescent="0.35">
      <c r="A282" s="19">
        <v>286</v>
      </c>
      <c r="B282" s="3" t="s">
        <v>369</v>
      </c>
      <c r="C282" s="3" t="s">
        <v>31</v>
      </c>
      <c r="D282" s="3" t="s">
        <v>121</v>
      </c>
      <c r="E282" s="3" t="s">
        <v>13</v>
      </c>
      <c r="F282" s="3" t="s">
        <v>68</v>
      </c>
      <c r="G282" s="3" t="s">
        <v>51</v>
      </c>
      <c r="H282" s="3" t="s">
        <v>15</v>
      </c>
      <c r="I282" s="3">
        <v>8910</v>
      </c>
      <c r="J282" s="3">
        <v>287</v>
      </c>
      <c r="K282" s="3">
        <v>287</v>
      </c>
      <c r="L282" s="18"/>
    </row>
    <row r="283" spans="1:12" ht="15.6" x14ac:dyDescent="0.35">
      <c r="A283" s="19">
        <v>287</v>
      </c>
      <c r="B283" s="3" t="s">
        <v>370</v>
      </c>
      <c r="C283" s="3" t="s">
        <v>31</v>
      </c>
      <c r="D283" s="3" t="s">
        <v>121</v>
      </c>
      <c r="E283" s="3" t="s">
        <v>27</v>
      </c>
      <c r="F283" s="3" t="s">
        <v>70</v>
      </c>
      <c r="G283" s="3" t="s">
        <v>29</v>
      </c>
      <c r="H283" s="3" t="s">
        <v>46</v>
      </c>
      <c r="I283" s="3">
        <v>2683</v>
      </c>
      <c r="J283" s="3">
        <v>288</v>
      </c>
      <c r="K283" s="3">
        <v>288</v>
      </c>
      <c r="L283" s="18"/>
    </row>
    <row r="284" spans="1:12" ht="15.6" x14ac:dyDescent="0.35">
      <c r="A284" s="19">
        <v>288</v>
      </c>
      <c r="B284" s="3" t="s">
        <v>371</v>
      </c>
      <c r="C284" s="3" t="s">
        <v>31</v>
      </c>
      <c r="D284" s="3" t="s">
        <v>121</v>
      </c>
      <c r="E284" s="3" t="s">
        <v>27</v>
      </c>
      <c r="F284" s="3" t="s">
        <v>72</v>
      </c>
      <c r="G284" s="3" t="s">
        <v>29</v>
      </c>
      <c r="H284" s="3" t="s">
        <v>15</v>
      </c>
      <c r="I284" s="3">
        <v>7046</v>
      </c>
      <c r="J284" s="3">
        <v>289</v>
      </c>
      <c r="K284" s="3">
        <v>289</v>
      </c>
      <c r="L284" s="18"/>
    </row>
    <row r="285" spans="1:12" ht="15.6" x14ac:dyDescent="0.35">
      <c r="A285" s="19">
        <v>289</v>
      </c>
      <c r="B285" s="3" t="s">
        <v>372</v>
      </c>
      <c r="C285" s="3" t="s">
        <v>31</v>
      </c>
      <c r="D285" s="3" t="s">
        <v>142</v>
      </c>
      <c r="E285" s="3" t="s">
        <v>13</v>
      </c>
      <c r="F285" s="3" t="s">
        <v>74</v>
      </c>
      <c r="G285" s="3" t="s">
        <v>45</v>
      </c>
      <c r="H285" s="3" t="s">
        <v>15</v>
      </c>
      <c r="I285" s="3">
        <v>9395</v>
      </c>
      <c r="J285" s="3">
        <v>290</v>
      </c>
      <c r="K285" s="3">
        <v>290</v>
      </c>
      <c r="L285" s="18"/>
    </row>
    <row r="286" spans="1:12" ht="15.6" x14ac:dyDescent="0.35">
      <c r="A286" s="19">
        <v>290</v>
      </c>
      <c r="B286" s="3" t="s">
        <v>373</v>
      </c>
      <c r="C286" s="3" t="s">
        <v>31</v>
      </c>
      <c r="D286" s="3" t="s">
        <v>142</v>
      </c>
      <c r="E286" s="3" t="s">
        <v>13</v>
      </c>
      <c r="F286" s="3" t="s">
        <v>76</v>
      </c>
      <c r="G286" s="3" t="s">
        <v>51</v>
      </c>
      <c r="H286" s="3" t="s">
        <v>15</v>
      </c>
      <c r="I286" s="3">
        <v>5242</v>
      </c>
      <c r="J286" s="3">
        <v>291</v>
      </c>
      <c r="K286" s="3">
        <v>291</v>
      </c>
      <c r="L286" s="18"/>
    </row>
    <row r="287" spans="1:12" ht="15.6" x14ac:dyDescent="0.35">
      <c r="A287" s="19">
        <v>291</v>
      </c>
      <c r="B287" s="3" t="s">
        <v>374</v>
      </c>
      <c r="C287" s="3" t="s">
        <v>31</v>
      </c>
      <c r="D287" s="3" t="s">
        <v>142</v>
      </c>
      <c r="E287" s="3" t="s">
        <v>23</v>
      </c>
      <c r="F287" s="3" t="s">
        <v>78</v>
      </c>
      <c r="G287" s="3" t="s">
        <v>79</v>
      </c>
      <c r="H287" s="3" t="s">
        <v>15</v>
      </c>
      <c r="I287" s="3">
        <v>9909</v>
      </c>
      <c r="J287" s="3">
        <v>292</v>
      </c>
      <c r="K287" s="3">
        <v>292</v>
      </c>
      <c r="L287" s="18"/>
    </row>
    <row r="288" spans="1:12" ht="15.6" x14ac:dyDescent="0.35">
      <c r="A288" s="19">
        <v>292</v>
      </c>
      <c r="B288" s="3" t="s">
        <v>375</v>
      </c>
      <c r="C288" s="3" t="s">
        <v>31</v>
      </c>
      <c r="D288" s="3" t="s">
        <v>142</v>
      </c>
      <c r="E288" s="3" t="s">
        <v>27</v>
      </c>
      <c r="F288" s="3" t="s">
        <v>81</v>
      </c>
      <c r="G288" s="3" t="s">
        <v>150</v>
      </c>
      <c r="H288" s="3" t="s">
        <v>46</v>
      </c>
      <c r="I288" s="3">
        <v>2005</v>
      </c>
      <c r="J288" s="3">
        <v>293</v>
      </c>
      <c r="K288" s="3">
        <v>293</v>
      </c>
      <c r="L288" s="18"/>
    </row>
    <row r="289" spans="1:12" ht="15.6" x14ac:dyDescent="0.35">
      <c r="A289" s="19">
        <v>293</v>
      </c>
      <c r="B289" s="3" t="s">
        <v>376</v>
      </c>
      <c r="C289" s="3" t="s">
        <v>31</v>
      </c>
      <c r="D289" s="3" t="s">
        <v>142</v>
      </c>
      <c r="E289" s="3" t="s">
        <v>18</v>
      </c>
      <c r="F289" s="3" t="s">
        <v>83</v>
      </c>
      <c r="G289" s="3" t="s">
        <v>20</v>
      </c>
      <c r="H289" s="3" t="s">
        <v>46</v>
      </c>
      <c r="I289" s="3">
        <v>1891</v>
      </c>
      <c r="J289" s="3">
        <v>294</v>
      </c>
      <c r="K289" s="3">
        <v>294</v>
      </c>
      <c r="L289" s="18"/>
    </row>
    <row r="290" spans="1:12" ht="15.6" x14ac:dyDescent="0.35">
      <c r="A290" s="19">
        <v>294</v>
      </c>
      <c r="B290" s="3" t="s">
        <v>377</v>
      </c>
      <c r="C290" s="3" t="s">
        <v>31</v>
      </c>
      <c r="D290" s="3" t="s">
        <v>142</v>
      </c>
      <c r="E290" s="3" t="s">
        <v>13</v>
      </c>
      <c r="F290" s="3" t="s">
        <v>85</v>
      </c>
      <c r="G290" s="3" t="s">
        <v>86</v>
      </c>
      <c r="H290" s="3" t="s">
        <v>46</v>
      </c>
      <c r="I290" s="3">
        <v>6839</v>
      </c>
      <c r="J290" s="3">
        <v>295</v>
      </c>
      <c r="K290" s="3">
        <v>295</v>
      </c>
      <c r="L290" s="18"/>
    </row>
    <row r="291" spans="1:12" ht="15.6" x14ac:dyDescent="0.35">
      <c r="A291" s="19">
        <v>295</v>
      </c>
      <c r="B291" s="3" t="s">
        <v>267</v>
      </c>
      <c r="C291" s="3" t="s">
        <v>155</v>
      </c>
      <c r="D291" s="3" t="s">
        <v>174</v>
      </c>
      <c r="E291" s="3" t="s">
        <v>13</v>
      </c>
      <c r="F291" s="3" t="s">
        <v>88</v>
      </c>
      <c r="G291" s="3" t="s">
        <v>89</v>
      </c>
      <c r="H291" s="3" t="s">
        <v>46</v>
      </c>
      <c r="I291" s="3">
        <v>8854</v>
      </c>
      <c r="J291" s="3">
        <v>296</v>
      </c>
      <c r="K291" s="3">
        <v>296</v>
      </c>
      <c r="L291" s="18"/>
    </row>
    <row r="292" spans="1:12" ht="15.6" x14ac:dyDescent="0.35">
      <c r="A292" s="19">
        <v>296</v>
      </c>
      <c r="B292" s="3" t="s">
        <v>378</v>
      </c>
      <c r="C292" s="3" t="s">
        <v>155</v>
      </c>
      <c r="D292" s="3" t="s">
        <v>174</v>
      </c>
      <c r="E292" s="3" t="s">
        <v>91</v>
      </c>
      <c r="F292" s="3" t="s">
        <v>92</v>
      </c>
      <c r="G292" s="3" t="s">
        <v>93</v>
      </c>
      <c r="H292" s="3" t="s">
        <v>46</v>
      </c>
      <c r="I292" s="3">
        <v>8143</v>
      </c>
      <c r="J292" s="3">
        <v>297</v>
      </c>
      <c r="K292" s="3">
        <v>297</v>
      </c>
      <c r="L292" s="18"/>
    </row>
    <row r="293" spans="1:12" ht="15.6" x14ac:dyDescent="0.35">
      <c r="A293" s="19">
        <v>297</v>
      </c>
      <c r="B293" s="3" t="s">
        <v>379</v>
      </c>
      <c r="C293" s="3" t="s">
        <v>155</v>
      </c>
      <c r="D293" s="3" t="s">
        <v>174</v>
      </c>
      <c r="E293" s="3" t="s">
        <v>13</v>
      </c>
      <c r="F293" s="3" t="s">
        <v>95</v>
      </c>
      <c r="G293" s="3" t="s">
        <v>96</v>
      </c>
      <c r="H293" s="3" t="s">
        <v>46</v>
      </c>
      <c r="I293" s="3">
        <v>8069</v>
      </c>
      <c r="J293" s="3">
        <v>298</v>
      </c>
      <c r="K293" s="3">
        <v>298</v>
      </c>
      <c r="L293" s="18"/>
    </row>
    <row r="294" spans="1:12" ht="15.6" x14ac:dyDescent="0.35">
      <c r="A294" s="19">
        <v>298</v>
      </c>
      <c r="B294" s="3" t="s">
        <v>226</v>
      </c>
      <c r="C294" s="3" t="s">
        <v>155</v>
      </c>
      <c r="D294" s="3" t="s">
        <v>174</v>
      </c>
      <c r="E294" s="3" t="s">
        <v>58</v>
      </c>
      <c r="F294" s="3" t="s">
        <v>98</v>
      </c>
      <c r="G294" s="3" t="s">
        <v>99</v>
      </c>
      <c r="H294" s="3" t="s">
        <v>46</v>
      </c>
      <c r="I294" s="3">
        <v>2268</v>
      </c>
      <c r="J294" s="3">
        <v>299</v>
      </c>
      <c r="K294" s="3">
        <v>299</v>
      </c>
      <c r="L294" s="18"/>
    </row>
    <row r="295" spans="1:12" ht="15.6" x14ac:dyDescent="0.35">
      <c r="A295" s="19">
        <v>299</v>
      </c>
      <c r="B295" s="3" t="s">
        <v>380</v>
      </c>
      <c r="C295" s="3" t="s">
        <v>155</v>
      </c>
      <c r="D295" s="3" t="s">
        <v>174</v>
      </c>
      <c r="E295" s="3" t="s">
        <v>23</v>
      </c>
      <c r="F295" s="3" t="s">
        <v>101</v>
      </c>
      <c r="G295" s="3" t="s">
        <v>25</v>
      </c>
      <c r="H295" s="3" t="s">
        <v>46</v>
      </c>
      <c r="I295" s="3">
        <v>2576</v>
      </c>
      <c r="J295" s="3">
        <v>300</v>
      </c>
      <c r="K295" s="3">
        <v>300</v>
      </c>
      <c r="L295" s="18"/>
    </row>
    <row r="296" spans="1:12" ht="15.6" x14ac:dyDescent="0.35">
      <c r="A296" s="19">
        <v>300</v>
      </c>
      <c r="B296" s="3" t="s">
        <v>224</v>
      </c>
      <c r="C296" s="3" t="s">
        <v>155</v>
      </c>
      <c r="D296" s="3" t="s">
        <v>174</v>
      </c>
      <c r="E296" s="3" t="s">
        <v>23</v>
      </c>
      <c r="F296" s="3" t="s">
        <v>24</v>
      </c>
      <c r="G296" s="3" t="s">
        <v>25</v>
      </c>
      <c r="H296" s="3" t="s">
        <v>46</v>
      </c>
      <c r="I296" s="3">
        <v>7694</v>
      </c>
      <c r="J296" s="3">
        <v>301</v>
      </c>
      <c r="K296" s="3">
        <v>301</v>
      </c>
      <c r="L296" s="18"/>
    </row>
    <row r="297" spans="1:12" ht="15.6" x14ac:dyDescent="0.35">
      <c r="A297" s="19">
        <v>301</v>
      </c>
      <c r="B297" s="3" t="s">
        <v>381</v>
      </c>
      <c r="C297" s="3" t="s">
        <v>155</v>
      </c>
      <c r="D297" s="3" t="s">
        <v>174</v>
      </c>
      <c r="E297" s="3" t="s">
        <v>58</v>
      </c>
      <c r="F297" s="3" t="s">
        <v>105</v>
      </c>
      <c r="G297" s="3" t="s">
        <v>60</v>
      </c>
      <c r="H297" s="3" t="s">
        <v>46</v>
      </c>
      <c r="I297" s="3">
        <v>8952</v>
      </c>
      <c r="J297" s="3">
        <v>302</v>
      </c>
      <c r="K297" s="3">
        <v>302</v>
      </c>
      <c r="L297" s="18"/>
    </row>
    <row r="298" spans="1:12" ht="15.6" x14ac:dyDescent="0.35">
      <c r="A298" s="19">
        <v>302</v>
      </c>
      <c r="B298" s="3" t="s">
        <v>382</v>
      </c>
      <c r="C298" s="3" t="s">
        <v>155</v>
      </c>
      <c r="D298" s="3" t="s">
        <v>174</v>
      </c>
      <c r="E298" s="3" t="s">
        <v>23</v>
      </c>
      <c r="F298" s="3" t="s">
        <v>107</v>
      </c>
      <c r="G298" s="3" t="s">
        <v>79</v>
      </c>
      <c r="H298" s="3" t="s">
        <v>15</v>
      </c>
      <c r="I298" s="3">
        <v>5764</v>
      </c>
      <c r="J298" s="3">
        <v>303</v>
      </c>
      <c r="K298" s="3">
        <v>303</v>
      </c>
      <c r="L298" s="18"/>
    </row>
    <row r="299" spans="1:12" ht="15.6" x14ac:dyDescent="0.35">
      <c r="A299" s="19">
        <v>303</v>
      </c>
      <c r="B299" s="3" t="s">
        <v>383</v>
      </c>
      <c r="C299" s="3" t="s">
        <v>155</v>
      </c>
      <c r="D299" s="3" t="s">
        <v>174</v>
      </c>
      <c r="E299" s="3" t="s">
        <v>23</v>
      </c>
      <c r="F299" s="3" t="s">
        <v>109</v>
      </c>
      <c r="G299" s="3" t="s">
        <v>25</v>
      </c>
      <c r="H299" s="3" t="s">
        <v>15</v>
      </c>
      <c r="I299" s="3">
        <v>9098</v>
      </c>
      <c r="J299" s="3">
        <v>304</v>
      </c>
      <c r="K299" s="3">
        <v>304</v>
      </c>
      <c r="L299" s="18"/>
    </row>
    <row r="300" spans="1:12" ht="15.6" x14ac:dyDescent="0.35">
      <c r="A300" s="19">
        <v>304</v>
      </c>
      <c r="B300" s="3" t="s">
        <v>384</v>
      </c>
      <c r="C300" s="3" t="s">
        <v>155</v>
      </c>
      <c r="D300" s="3" t="s">
        <v>174</v>
      </c>
      <c r="E300" s="3" t="s">
        <v>13</v>
      </c>
      <c r="F300" s="3" t="s">
        <v>76</v>
      </c>
      <c r="G300" s="3" t="s">
        <v>51</v>
      </c>
      <c r="H300" s="3" t="s">
        <v>15</v>
      </c>
      <c r="I300" s="3">
        <v>2777</v>
      </c>
      <c r="J300" s="3">
        <v>305</v>
      </c>
      <c r="K300" s="3">
        <v>305</v>
      </c>
      <c r="L300" s="18"/>
    </row>
    <row r="301" spans="1:12" ht="15.6" x14ac:dyDescent="0.35">
      <c r="A301" s="19">
        <v>305</v>
      </c>
      <c r="B301" s="3" t="s">
        <v>385</v>
      </c>
      <c r="C301" s="3" t="s">
        <v>155</v>
      </c>
      <c r="D301" s="3" t="s">
        <v>174</v>
      </c>
      <c r="E301" s="3" t="s">
        <v>23</v>
      </c>
      <c r="F301" s="3" t="s">
        <v>78</v>
      </c>
      <c r="G301" s="3" t="s">
        <v>79</v>
      </c>
      <c r="H301" s="3" t="s">
        <v>15</v>
      </c>
      <c r="I301" s="3">
        <v>9218</v>
      </c>
      <c r="J301" s="3">
        <v>306</v>
      </c>
      <c r="K301" s="3">
        <v>306</v>
      </c>
      <c r="L301" s="18"/>
    </row>
    <row r="302" spans="1:12" ht="15.6" x14ac:dyDescent="0.35">
      <c r="A302" s="19">
        <v>306</v>
      </c>
      <c r="B302" s="3" t="s">
        <v>386</v>
      </c>
      <c r="C302" s="3" t="s">
        <v>155</v>
      </c>
      <c r="D302" s="3" t="s">
        <v>174</v>
      </c>
      <c r="E302" s="3" t="s">
        <v>27</v>
      </c>
      <c r="F302" s="3" t="s">
        <v>81</v>
      </c>
      <c r="G302" s="3" t="s">
        <v>150</v>
      </c>
      <c r="H302" s="3" t="s">
        <v>15</v>
      </c>
      <c r="I302" s="3">
        <v>6785</v>
      </c>
      <c r="J302" s="3">
        <v>307</v>
      </c>
      <c r="K302" s="3">
        <v>307</v>
      </c>
      <c r="L302" s="18"/>
    </row>
    <row r="303" spans="1:12" ht="15.6" x14ac:dyDescent="0.35">
      <c r="A303" s="19">
        <v>307</v>
      </c>
      <c r="B303" s="3" t="s">
        <v>387</v>
      </c>
      <c r="C303" s="3" t="s">
        <v>11</v>
      </c>
      <c r="D303" s="3" t="s">
        <v>104</v>
      </c>
      <c r="E303" s="3" t="s">
        <v>18</v>
      </c>
      <c r="F303" s="3" t="s">
        <v>83</v>
      </c>
      <c r="G303" s="3" t="s">
        <v>20</v>
      </c>
      <c r="H303" s="3" t="s">
        <v>46</v>
      </c>
      <c r="I303" s="3">
        <v>1980</v>
      </c>
      <c r="J303" s="3">
        <v>308</v>
      </c>
      <c r="K303" s="3">
        <v>308</v>
      </c>
      <c r="L303" s="18"/>
    </row>
    <row r="304" spans="1:12" ht="15.6" x14ac:dyDescent="0.35">
      <c r="A304" s="19">
        <v>308</v>
      </c>
      <c r="B304" s="3" t="s">
        <v>388</v>
      </c>
      <c r="C304" s="3" t="s">
        <v>11</v>
      </c>
      <c r="D304" s="3" t="s">
        <v>104</v>
      </c>
      <c r="E304" s="3" t="s">
        <v>13</v>
      </c>
      <c r="F304" s="3" t="s">
        <v>85</v>
      </c>
      <c r="G304" s="3" t="s">
        <v>86</v>
      </c>
      <c r="H304" s="3" t="s">
        <v>46</v>
      </c>
      <c r="I304" s="3">
        <v>6082</v>
      </c>
      <c r="J304" s="3">
        <v>309</v>
      </c>
      <c r="K304" s="3">
        <v>309</v>
      </c>
      <c r="L304" s="18"/>
    </row>
    <row r="305" spans="1:12" ht="15.6" x14ac:dyDescent="0.35">
      <c r="A305" s="19">
        <v>309</v>
      </c>
      <c r="B305" s="3" t="s">
        <v>389</v>
      </c>
      <c r="C305" s="3" t="s">
        <v>11</v>
      </c>
      <c r="D305" s="3" t="s">
        <v>104</v>
      </c>
      <c r="E305" s="3" t="s">
        <v>13</v>
      </c>
      <c r="F305" s="3" t="s">
        <v>88</v>
      </c>
      <c r="G305" s="3" t="s">
        <v>89</v>
      </c>
      <c r="H305" s="3" t="s">
        <v>46</v>
      </c>
      <c r="I305" s="3">
        <v>9433</v>
      </c>
      <c r="J305" s="3">
        <v>310</v>
      </c>
      <c r="K305" s="3">
        <v>310</v>
      </c>
      <c r="L305" s="18"/>
    </row>
    <row r="306" spans="1:12" ht="15.6" x14ac:dyDescent="0.35">
      <c r="A306" s="19">
        <v>310</v>
      </c>
      <c r="B306" s="3" t="s">
        <v>390</v>
      </c>
      <c r="C306" s="3" t="s">
        <v>11</v>
      </c>
      <c r="D306" s="3" t="s">
        <v>104</v>
      </c>
      <c r="E306" s="3" t="s">
        <v>91</v>
      </c>
      <c r="F306" s="3" t="s">
        <v>92</v>
      </c>
      <c r="G306" s="3" t="s">
        <v>93</v>
      </c>
      <c r="H306" s="3" t="s">
        <v>15</v>
      </c>
      <c r="I306" s="3">
        <v>5549</v>
      </c>
      <c r="J306" s="3">
        <v>311</v>
      </c>
      <c r="K306" s="3">
        <v>311</v>
      </c>
      <c r="L306" s="18"/>
    </row>
    <row r="307" spans="1:12" ht="15.6" x14ac:dyDescent="0.35">
      <c r="A307" s="19">
        <v>311</v>
      </c>
      <c r="B307" s="3" t="s">
        <v>391</v>
      </c>
      <c r="C307" s="3" t="s">
        <v>11</v>
      </c>
      <c r="D307" s="3" t="s">
        <v>104</v>
      </c>
      <c r="E307" s="3" t="s">
        <v>13</v>
      </c>
      <c r="F307" s="3" t="s">
        <v>95</v>
      </c>
      <c r="G307" s="3" t="s">
        <v>96</v>
      </c>
      <c r="H307" s="3" t="s">
        <v>15</v>
      </c>
      <c r="I307" s="3">
        <v>2572</v>
      </c>
      <c r="J307" s="3">
        <v>312</v>
      </c>
      <c r="K307" s="3">
        <v>312</v>
      </c>
      <c r="L307" s="18"/>
    </row>
    <row r="308" spans="1:12" ht="15.6" x14ac:dyDescent="0.35">
      <c r="A308" s="19">
        <v>312</v>
      </c>
      <c r="B308" s="3" t="s">
        <v>392</v>
      </c>
      <c r="C308" s="3" t="s">
        <v>11</v>
      </c>
      <c r="D308" s="3" t="s">
        <v>104</v>
      </c>
      <c r="E308" s="3" t="s">
        <v>58</v>
      </c>
      <c r="F308" s="3" t="s">
        <v>98</v>
      </c>
      <c r="G308" s="3" t="s">
        <v>99</v>
      </c>
      <c r="H308" s="3" t="s">
        <v>15</v>
      </c>
      <c r="I308" s="3">
        <v>5503</v>
      </c>
      <c r="J308" s="3">
        <v>313</v>
      </c>
      <c r="K308" s="3">
        <v>313</v>
      </c>
      <c r="L308" s="18"/>
    </row>
    <row r="309" spans="1:12" ht="15.6" x14ac:dyDescent="0.35">
      <c r="A309" s="19">
        <v>313</v>
      </c>
      <c r="B309" s="3" t="s">
        <v>393</v>
      </c>
      <c r="C309" s="3" t="s">
        <v>11</v>
      </c>
      <c r="D309" s="3" t="s">
        <v>104</v>
      </c>
      <c r="E309" s="3" t="s">
        <v>23</v>
      </c>
      <c r="F309" s="3" t="s">
        <v>101</v>
      </c>
      <c r="G309" s="3" t="s">
        <v>25</v>
      </c>
      <c r="H309" s="3" t="s">
        <v>15</v>
      </c>
      <c r="I309" s="3">
        <v>5562</v>
      </c>
      <c r="J309" s="3">
        <v>314</v>
      </c>
      <c r="K309" s="3">
        <v>314</v>
      </c>
      <c r="L309" s="18"/>
    </row>
    <row r="310" spans="1:12" ht="15.6" x14ac:dyDescent="0.35">
      <c r="A310" s="19">
        <v>314</v>
      </c>
      <c r="B310" s="3" t="s">
        <v>394</v>
      </c>
      <c r="C310" s="3" t="s">
        <v>11</v>
      </c>
      <c r="D310" s="3" t="s">
        <v>104</v>
      </c>
      <c r="E310" s="3" t="s">
        <v>23</v>
      </c>
      <c r="F310" s="3" t="s">
        <v>24</v>
      </c>
      <c r="G310" s="3" t="s">
        <v>25</v>
      </c>
      <c r="H310" s="3" t="s">
        <v>15</v>
      </c>
      <c r="I310" s="3">
        <v>3673</v>
      </c>
      <c r="J310" s="3">
        <v>315</v>
      </c>
      <c r="K310" s="3">
        <v>315</v>
      </c>
      <c r="L310" s="18"/>
    </row>
    <row r="311" spans="1:12" ht="15.6" x14ac:dyDescent="0.35">
      <c r="A311" s="19">
        <v>315</v>
      </c>
      <c r="B311" s="3" t="s">
        <v>395</v>
      </c>
      <c r="C311" s="3" t="s">
        <v>11</v>
      </c>
      <c r="D311" s="3" t="s">
        <v>104</v>
      </c>
      <c r="E311" s="3" t="s">
        <v>58</v>
      </c>
      <c r="F311" s="3" t="s">
        <v>105</v>
      </c>
      <c r="G311" s="3" t="s">
        <v>60</v>
      </c>
      <c r="H311" s="3" t="s">
        <v>46</v>
      </c>
      <c r="I311" s="3">
        <v>2344</v>
      </c>
      <c r="J311" s="3">
        <v>316</v>
      </c>
      <c r="K311" s="3">
        <v>316</v>
      </c>
      <c r="L311" s="18"/>
    </row>
    <row r="312" spans="1:12" ht="15.6" x14ac:dyDescent="0.35">
      <c r="A312" s="19">
        <v>316</v>
      </c>
      <c r="B312" s="3" t="s">
        <v>396</v>
      </c>
      <c r="C312" s="3" t="s">
        <v>11</v>
      </c>
      <c r="D312" s="3" t="s">
        <v>104</v>
      </c>
      <c r="E312" s="3" t="s">
        <v>23</v>
      </c>
      <c r="F312" s="3" t="s">
        <v>107</v>
      </c>
      <c r="G312" s="3" t="s">
        <v>79</v>
      </c>
      <c r="H312" s="3" t="s">
        <v>46</v>
      </c>
      <c r="I312" s="3">
        <v>6278</v>
      </c>
      <c r="J312" s="3">
        <v>317</v>
      </c>
      <c r="K312" s="3">
        <v>317</v>
      </c>
      <c r="L312" s="18"/>
    </row>
    <row r="313" spans="1:12" ht="15.6" x14ac:dyDescent="0.35">
      <c r="A313" s="19">
        <v>317</v>
      </c>
      <c r="B313" s="3" t="s">
        <v>397</v>
      </c>
      <c r="C313" s="3" t="s">
        <v>11</v>
      </c>
      <c r="D313" s="3" t="s">
        <v>104</v>
      </c>
      <c r="E313" s="3" t="s">
        <v>18</v>
      </c>
      <c r="F313" s="3" t="s">
        <v>63</v>
      </c>
      <c r="G313" s="3" t="s">
        <v>40</v>
      </c>
      <c r="H313" s="3" t="s">
        <v>46</v>
      </c>
      <c r="I313" s="3">
        <v>9561</v>
      </c>
      <c r="J313" s="3">
        <v>318</v>
      </c>
      <c r="K313" s="3">
        <v>318</v>
      </c>
      <c r="L313" s="18"/>
    </row>
    <row r="314" spans="1:12" ht="15.6" x14ac:dyDescent="0.35">
      <c r="A314" s="19">
        <v>318</v>
      </c>
      <c r="B314" s="3" t="s">
        <v>398</v>
      </c>
      <c r="C314" s="3" t="s">
        <v>31</v>
      </c>
      <c r="D314" s="3" t="s">
        <v>121</v>
      </c>
      <c r="E314" s="3" t="s">
        <v>13</v>
      </c>
      <c r="F314" s="3" t="s">
        <v>65</v>
      </c>
      <c r="G314" s="3" t="s">
        <v>51</v>
      </c>
      <c r="H314" s="3" t="s">
        <v>46</v>
      </c>
      <c r="I314" s="3">
        <v>2952</v>
      </c>
      <c r="J314" s="3">
        <v>319</v>
      </c>
      <c r="K314" s="3">
        <v>319</v>
      </c>
      <c r="L314" s="18"/>
    </row>
    <row r="315" spans="1:12" ht="15.6" x14ac:dyDescent="0.35">
      <c r="A315" s="19">
        <v>319</v>
      </c>
      <c r="B315" s="3" t="s">
        <v>399</v>
      </c>
      <c r="C315" s="3" t="s">
        <v>31</v>
      </c>
      <c r="D315" s="3" t="s">
        <v>121</v>
      </c>
      <c r="E315" s="3" t="s">
        <v>13</v>
      </c>
      <c r="F315" s="3" t="s">
        <v>68</v>
      </c>
      <c r="G315" s="3" t="s">
        <v>51</v>
      </c>
      <c r="H315" s="3" t="s">
        <v>46</v>
      </c>
      <c r="I315" s="3">
        <v>5507</v>
      </c>
      <c r="J315" s="3">
        <v>320</v>
      </c>
      <c r="K315" s="3">
        <v>320</v>
      </c>
      <c r="L315" s="18"/>
    </row>
    <row r="316" spans="1:12" ht="15.6" x14ac:dyDescent="0.35">
      <c r="A316" s="19">
        <v>320</v>
      </c>
      <c r="B316" s="3" t="s">
        <v>400</v>
      </c>
      <c r="C316" s="3" t="s">
        <v>31</v>
      </c>
      <c r="D316" s="3" t="s">
        <v>121</v>
      </c>
      <c r="E316" s="3" t="s">
        <v>27</v>
      </c>
      <c r="F316" s="3" t="s">
        <v>70</v>
      </c>
      <c r="G316" s="3" t="s">
        <v>29</v>
      </c>
      <c r="H316" s="3" t="s">
        <v>46</v>
      </c>
      <c r="I316" s="3">
        <v>9862</v>
      </c>
      <c r="J316" s="3">
        <v>321</v>
      </c>
      <c r="K316" s="3">
        <v>321</v>
      </c>
      <c r="L316" s="18"/>
    </row>
    <row r="317" spans="1:12" ht="15.6" x14ac:dyDescent="0.35">
      <c r="A317" s="19">
        <v>321</v>
      </c>
      <c r="B317" s="3" t="s">
        <v>401</v>
      </c>
      <c r="C317" s="3" t="s">
        <v>31</v>
      </c>
      <c r="D317" s="3" t="s">
        <v>121</v>
      </c>
      <c r="E317" s="3" t="s">
        <v>27</v>
      </c>
      <c r="F317" s="3" t="s">
        <v>72</v>
      </c>
      <c r="G317" s="3" t="s">
        <v>29</v>
      </c>
      <c r="H317" s="3" t="s">
        <v>46</v>
      </c>
      <c r="I317" s="3">
        <v>9694</v>
      </c>
      <c r="J317" s="3">
        <v>322</v>
      </c>
      <c r="K317" s="3">
        <v>322</v>
      </c>
      <c r="L317" s="18"/>
    </row>
    <row r="318" spans="1:12" ht="15.6" x14ac:dyDescent="0.35">
      <c r="A318" s="19">
        <v>322</v>
      </c>
      <c r="B318" s="3" t="s">
        <v>402</v>
      </c>
      <c r="C318" s="3" t="s">
        <v>31</v>
      </c>
      <c r="D318" s="3" t="s">
        <v>121</v>
      </c>
      <c r="E318" s="3" t="s">
        <v>13</v>
      </c>
      <c r="F318" s="3" t="s">
        <v>74</v>
      </c>
      <c r="G318" s="3" t="s">
        <v>45</v>
      </c>
      <c r="H318" s="3" t="s">
        <v>15</v>
      </c>
      <c r="I318" s="3">
        <v>6821</v>
      </c>
      <c r="J318" s="3">
        <v>323</v>
      </c>
      <c r="K318" s="3">
        <v>323</v>
      </c>
      <c r="L318" s="18"/>
    </row>
    <row r="319" spans="1:12" ht="15.6" x14ac:dyDescent="0.35">
      <c r="A319" s="19">
        <v>323</v>
      </c>
      <c r="B319" s="3" t="s">
        <v>403</v>
      </c>
      <c r="C319" s="3" t="s">
        <v>31</v>
      </c>
      <c r="D319" s="3" t="s">
        <v>121</v>
      </c>
      <c r="E319" s="3" t="s">
        <v>13</v>
      </c>
      <c r="F319" s="3" t="s">
        <v>76</v>
      </c>
      <c r="G319" s="3" t="s">
        <v>51</v>
      </c>
      <c r="H319" s="3" t="s">
        <v>15</v>
      </c>
      <c r="I319" s="3">
        <v>7329</v>
      </c>
      <c r="J319" s="3">
        <v>324</v>
      </c>
      <c r="K319" s="3">
        <v>324</v>
      </c>
      <c r="L319" s="18"/>
    </row>
    <row r="320" spans="1:12" ht="15.6" x14ac:dyDescent="0.35">
      <c r="A320" s="19">
        <v>324</v>
      </c>
      <c r="B320" s="3" t="s">
        <v>404</v>
      </c>
      <c r="C320" s="3" t="s">
        <v>31</v>
      </c>
      <c r="D320" s="3" t="s">
        <v>121</v>
      </c>
      <c r="E320" s="3" t="s">
        <v>23</v>
      </c>
      <c r="F320" s="3" t="s">
        <v>78</v>
      </c>
      <c r="G320" s="3" t="s">
        <v>79</v>
      </c>
      <c r="H320" s="3" t="s">
        <v>15</v>
      </c>
      <c r="I320" s="3">
        <v>6427</v>
      </c>
      <c r="J320" s="3">
        <v>325</v>
      </c>
      <c r="K320" s="3">
        <v>325</v>
      </c>
      <c r="L320" s="18"/>
    </row>
    <row r="321" spans="1:12" ht="15.6" x14ac:dyDescent="0.35">
      <c r="A321" s="19">
        <v>325</v>
      </c>
      <c r="B321" s="3" t="s">
        <v>405</v>
      </c>
      <c r="C321" s="3" t="s">
        <v>31</v>
      </c>
      <c r="D321" s="3" t="s">
        <v>121</v>
      </c>
      <c r="E321" s="3" t="s">
        <v>27</v>
      </c>
      <c r="F321" s="3" t="s">
        <v>81</v>
      </c>
      <c r="G321" s="3" t="s">
        <v>150</v>
      </c>
      <c r="H321" s="3" t="s">
        <v>15</v>
      </c>
      <c r="I321" s="3">
        <v>8915</v>
      </c>
      <c r="J321" s="3">
        <v>326</v>
      </c>
      <c r="K321" s="3">
        <v>326</v>
      </c>
      <c r="L321" s="18"/>
    </row>
    <row r="322" spans="1:12" ht="15.6" x14ac:dyDescent="0.35">
      <c r="A322" s="19">
        <v>326</v>
      </c>
      <c r="B322" s="3" t="s">
        <v>406</v>
      </c>
      <c r="C322" s="3" t="s">
        <v>31</v>
      </c>
      <c r="D322" s="3" t="s">
        <v>121</v>
      </c>
      <c r="E322" s="3" t="s">
        <v>18</v>
      </c>
      <c r="F322" s="3" t="s">
        <v>83</v>
      </c>
      <c r="G322" s="3" t="s">
        <v>407</v>
      </c>
      <c r="H322" s="3" t="s">
        <v>46</v>
      </c>
      <c r="I322" s="3">
        <v>4848</v>
      </c>
      <c r="J322" s="3">
        <v>327</v>
      </c>
      <c r="K322" s="3">
        <v>327</v>
      </c>
      <c r="L322" s="18"/>
    </row>
    <row r="323" spans="1:12" ht="15.6" x14ac:dyDescent="0.35">
      <c r="A323" s="19">
        <v>327</v>
      </c>
      <c r="B323" s="3" t="s">
        <v>408</v>
      </c>
      <c r="C323" s="3" t="s">
        <v>31</v>
      </c>
      <c r="D323" s="3" t="s">
        <v>121</v>
      </c>
      <c r="E323" s="3" t="s">
        <v>13</v>
      </c>
      <c r="F323" s="3" t="s">
        <v>85</v>
      </c>
      <c r="G323" s="3" t="s">
        <v>86</v>
      </c>
      <c r="H323" s="3" t="s">
        <v>15</v>
      </c>
      <c r="I323" s="3">
        <v>5990</v>
      </c>
      <c r="J323" s="3">
        <v>328</v>
      </c>
      <c r="K323" s="3">
        <v>328</v>
      </c>
      <c r="L323" s="18"/>
    </row>
    <row r="324" spans="1:12" ht="15.6" x14ac:dyDescent="0.35">
      <c r="A324" s="19">
        <v>328</v>
      </c>
      <c r="B324" s="3" t="s">
        <v>409</v>
      </c>
      <c r="C324" s="3" t="s">
        <v>31</v>
      </c>
      <c r="D324" s="3" t="s">
        <v>121</v>
      </c>
      <c r="E324" s="3" t="s">
        <v>13</v>
      </c>
      <c r="F324" s="3" t="s">
        <v>88</v>
      </c>
      <c r="G324" s="3" t="s">
        <v>89</v>
      </c>
      <c r="H324" s="3" t="s">
        <v>15</v>
      </c>
      <c r="I324" s="3">
        <v>6726</v>
      </c>
      <c r="J324" s="3">
        <v>329</v>
      </c>
      <c r="K324" s="3">
        <v>329</v>
      </c>
      <c r="L324" s="18"/>
    </row>
    <row r="325" spans="1:12" ht="15.6" x14ac:dyDescent="0.35">
      <c r="A325" s="19">
        <v>329</v>
      </c>
      <c r="B325" s="3" t="s">
        <v>410</v>
      </c>
      <c r="C325" s="3" t="s">
        <v>31</v>
      </c>
      <c r="D325" s="3" t="s">
        <v>121</v>
      </c>
      <c r="E325" s="3" t="s">
        <v>91</v>
      </c>
      <c r="F325" s="3" t="s">
        <v>92</v>
      </c>
      <c r="G325" s="3" t="s">
        <v>93</v>
      </c>
      <c r="H325" s="3" t="s">
        <v>15</v>
      </c>
      <c r="I325" s="3">
        <v>5686</v>
      </c>
      <c r="J325" s="3">
        <v>330</v>
      </c>
      <c r="K325" s="3">
        <v>330</v>
      </c>
      <c r="L325" s="18"/>
    </row>
    <row r="326" spans="1:12" ht="15.6" x14ac:dyDescent="0.35">
      <c r="A326" s="19">
        <v>330</v>
      </c>
      <c r="B326" s="3" t="s">
        <v>411</v>
      </c>
      <c r="C326" s="3" t="s">
        <v>31</v>
      </c>
      <c r="D326" s="3" t="s">
        <v>142</v>
      </c>
      <c r="E326" s="3" t="s">
        <v>13</v>
      </c>
      <c r="F326" s="3" t="s">
        <v>95</v>
      </c>
      <c r="G326" s="3" t="s">
        <v>96</v>
      </c>
      <c r="H326" s="3" t="s">
        <v>15</v>
      </c>
      <c r="I326" s="3">
        <v>5246</v>
      </c>
      <c r="J326" s="3">
        <v>331</v>
      </c>
      <c r="K326" s="3">
        <v>331</v>
      </c>
      <c r="L326" s="18"/>
    </row>
    <row r="327" spans="1:12" ht="16.2" thickBot="1" x14ac:dyDescent="0.4">
      <c r="A327" s="21"/>
      <c r="B327" s="22"/>
      <c r="C327" s="22"/>
      <c r="D327" s="22"/>
      <c r="E327" s="22"/>
      <c r="F327" s="22"/>
      <c r="G327" s="22"/>
      <c r="H327" s="22"/>
      <c r="I327" s="22">
        <f>SUBTOTAL(9,I2:I326)</f>
        <v>1830286</v>
      </c>
      <c r="J327" s="22"/>
      <c r="K327" s="23">
        <f>SUBTOTAL(9,K2:K326)</f>
        <v>54855</v>
      </c>
      <c r="L327" s="24"/>
    </row>
    <row r="328" spans="1:12" ht="15.6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2"/>
      <c r="L328" s="11"/>
    </row>
    <row r="329" spans="1:12" ht="15.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5"/>
      <c r="L329" s="2"/>
    </row>
  </sheetData>
  <autoFilter ref="C1:C329" xr:uid="{19F07A7F-3AAF-49FC-AE24-6ED5ECE26E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6F9E-95F6-4C7D-9F9C-C9E7734803E7}">
  <dimension ref="B1:L41"/>
  <sheetViews>
    <sheetView tabSelected="1" zoomScale="73" workbookViewId="0">
      <selection activeCell="N4" sqref="N4"/>
    </sheetView>
  </sheetViews>
  <sheetFormatPr defaultRowHeight="14.4" x14ac:dyDescent="0.3"/>
  <cols>
    <col min="2" max="2" width="16.21875" customWidth="1"/>
    <col min="3" max="3" width="10.33203125" customWidth="1"/>
    <col min="6" max="6" width="14.33203125" customWidth="1"/>
    <col min="10" max="10" width="20.6640625" customWidth="1"/>
    <col min="11" max="11" width="12.44140625" customWidth="1"/>
    <col min="12" max="12" width="11.109375" customWidth="1"/>
    <col min="18" max="18" width="8.88671875" customWidth="1"/>
  </cols>
  <sheetData>
    <row r="1" spans="2:12" ht="16.2" thickBot="1" x14ac:dyDescent="0.35">
      <c r="F1" s="66" t="s">
        <v>420</v>
      </c>
      <c r="G1" s="67"/>
      <c r="H1" s="68"/>
    </row>
    <row r="2" spans="2:12" x14ac:dyDescent="0.3">
      <c r="B2" s="8" t="s">
        <v>416</v>
      </c>
      <c r="C2" s="9"/>
      <c r="D2" s="10"/>
      <c r="F2" s="33" t="s">
        <v>14</v>
      </c>
      <c r="G2" s="7" cm="1">
        <f t="array" ref="G2:G40">SUMIF(actual!$F$2:$F$326,'pivot table'!F2:F40,actual!$K$2:$K$326)</f>
        <v>914</v>
      </c>
      <c r="H2" s="50">
        <f>G2/$G$41</f>
        <v>1.6662109196973841E-2</v>
      </c>
      <c r="J2" s="55" t="s">
        <v>421</v>
      </c>
      <c r="K2" s="55"/>
      <c r="L2" s="55"/>
    </row>
    <row r="3" spans="2:12" x14ac:dyDescent="0.3">
      <c r="B3" s="26" t="s">
        <v>413</v>
      </c>
      <c r="C3" s="7">
        <f>[1]target!D318</f>
        <v>22276800</v>
      </c>
      <c r="D3" s="25">
        <f>C3/$C$5</f>
        <v>0.92407684611902075</v>
      </c>
      <c r="F3" s="33" t="s">
        <v>19</v>
      </c>
      <c r="G3" s="7">
        <v>921</v>
      </c>
      <c r="H3" s="50">
        <f>G3/$G$41</f>
        <v>1.6789718348372982E-2</v>
      </c>
      <c r="J3" s="33" t="s">
        <v>14</v>
      </c>
      <c r="K3" s="7" cm="1">
        <f t="array" ref="K3:K23">SUMIF(actual!$G$2:$G$326,'pivot table'!J3:J23,actual!$J$2:$J$326)</f>
        <v>914</v>
      </c>
      <c r="L3" s="50">
        <f>K3/$K$24</f>
        <v>1.6662109196973841E-2</v>
      </c>
    </row>
    <row r="4" spans="2:12" x14ac:dyDescent="0.3">
      <c r="B4" s="26" t="s">
        <v>414</v>
      </c>
      <c r="C4">
        <f>actual!I327</f>
        <v>1830286</v>
      </c>
      <c r="D4" s="25">
        <f>C4/$C$5</f>
        <v>7.5923153880979227E-2</v>
      </c>
      <c r="F4" s="33" t="s">
        <v>24</v>
      </c>
      <c r="G4" s="7">
        <v>2341</v>
      </c>
      <c r="H4" s="50">
        <f>G4/$G$41</f>
        <v>4.2676146203627745E-2</v>
      </c>
      <c r="J4" s="33" t="s">
        <v>20</v>
      </c>
      <c r="K4" s="7">
        <v>4889</v>
      </c>
      <c r="L4" s="50">
        <f>K4/$K$24</f>
        <v>8.9125877312915866E-2</v>
      </c>
    </row>
    <row r="5" spans="2:12" ht="15" thickBot="1" x14ac:dyDescent="0.35">
      <c r="B5" s="38" t="s">
        <v>415</v>
      </c>
      <c r="C5" s="37">
        <f>SUM(C3:C4)</f>
        <v>24107086</v>
      </c>
      <c r="D5" s="49">
        <f>SUM(D3:D4)</f>
        <v>1</v>
      </c>
      <c r="F5" s="33" t="s">
        <v>28</v>
      </c>
      <c r="G5" s="7">
        <v>652</v>
      </c>
      <c r="H5" s="50">
        <f>G5/$G$41</f>
        <v>1.1885880958891624E-2</v>
      </c>
      <c r="J5" s="33" t="s">
        <v>25</v>
      </c>
      <c r="K5" s="7">
        <v>5973</v>
      </c>
      <c r="L5" s="50">
        <f>K5/$K$24</f>
        <v>0.10888706590101176</v>
      </c>
    </row>
    <row r="6" spans="2:12" x14ac:dyDescent="0.3">
      <c r="F6" s="33" t="s">
        <v>33</v>
      </c>
      <c r="G6" s="7">
        <v>658</v>
      </c>
      <c r="H6" s="50">
        <f>G6/$G$41</f>
        <v>1.199526023151946E-2</v>
      </c>
      <c r="J6" s="33" t="s">
        <v>29</v>
      </c>
      <c r="K6" s="7">
        <v>4348</v>
      </c>
      <c r="L6" s="50">
        <f>K6/$K$24</f>
        <v>7.9263512897639235E-2</v>
      </c>
    </row>
    <row r="7" spans="2:12" x14ac:dyDescent="0.3">
      <c r="B7" s="27" t="s">
        <v>419</v>
      </c>
      <c r="C7" s="27"/>
      <c r="D7" s="27"/>
      <c r="F7" s="33" t="s">
        <v>36</v>
      </c>
      <c r="G7" s="7">
        <v>664</v>
      </c>
      <c r="H7" s="50">
        <f>G7/$G$41</f>
        <v>1.2104639504147297E-2</v>
      </c>
      <c r="J7" s="33" t="s">
        <v>34</v>
      </c>
      <c r="K7" s="7">
        <v>1765</v>
      </c>
      <c r="L7" s="50">
        <f>K7/$K$24</f>
        <v>3.2175736031355394E-2</v>
      </c>
    </row>
    <row r="8" spans="2:12" x14ac:dyDescent="0.3">
      <c r="B8" s="32" t="s">
        <v>13</v>
      </c>
      <c r="C8" s="28" cm="1">
        <f t="array" ref="C8:C14">SUMIF(actual!$E$2:$E$326,'pivot table'!B8:B14,actual!$I$2:$I$326)</f>
        <v>575296</v>
      </c>
      <c r="D8" s="51">
        <f>C8/$C$15</f>
        <v>0.31432027562905468</v>
      </c>
      <c r="F8" s="33" t="s">
        <v>39</v>
      </c>
      <c r="G8" s="7">
        <v>670</v>
      </c>
      <c r="H8" s="50">
        <f>G8/$G$41</f>
        <v>1.2214018776775134E-2</v>
      </c>
      <c r="J8" s="33" t="s">
        <v>37</v>
      </c>
      <c r="K8" s="7">
        <v>664</v>
      </c>
      <c r="L8" s="50">
        <f>K8/$K$24</f>
        <v>1.2104639504147297E-2</v>
      </c>
    </row>
    <row r="9" spans="2:12" x14ac:dyDescent="0.3">
      <c r="B9" s="32" t="s">
        <v>18</v>
      </c>
      <c r="C9" s="28">
        <v>324858</v>
      </c>
      <c r="D9" s="51">
        <f t="shared" ref="D9:D15" si="0">C9/$C$15</f>
        <v>0.17749029386664161</v>
      </c>
      <c r="F9" s="33" t="s">
        <v>42</v>
      </c>
      <c r="G9" s="7">
        <v>676</v>
      </c>
      <c r="H9" s="50">
        <f>G9/$G$41</f>
        <v>1.2323398049402972E-2</v>
      </c>
      <c r="J9" s="33" t="s">
        <v>40</v>
      </c>
      <c r="K9" s="7">
        <v>3171</v>
      </c>
      <c r="L9" s="50">
        <f>K9/$K$24</f>
        <v>5.7806945583811865E-2</v>
      </c>
    </row>
    <row r="10" spans="2:12" x14ac:dyDescent="0.3">
      <c r="B10" s="32" t="s">
        <v>23</v>
      </c>
      <c r="C10" s="28">
        <v>322649</v>
      </c>
      <c r="D10" s="51">
        <f t="shared" si="0"/>
        <v>0.1762833786632253</v>
      </c>
      <c r="F10" s="33" t="s">
        <v>44</v>
      </c>
      <c r="G10" s="7">
        <v>682</v>
      </c>
      <c r="H10" s="50">
        <f>G10/$G$41</f>
        <v>1.2432777322030809E-2</v>
      </c>
      <c r="J10" s="33" t="s">
        <v>45</v>
      </c>
      <c r="K10" s="7">
        <v>2545</v>
      </c>
      <c r="L10" s="50">
        <f>K10/$K$24</f>
        <v>4.6395041472974206E-2</v>
      </c>
    </row>
    <row r="11" spans="2:12" x14ac:dyDescent="0.3">
      <c r="B11" s="32" t="s">
        <v>27</v>
      </c>
      <c r="C11" s="28">
        <v>343381</v>
      </c>
      <c r="D11" s="51">
        <f t="shared" si="0"/>
        <v>0.18761057015133153</v>
      </c>
      <c r="F11" s="33" t="s">
        <v>48</v>
      </c>
      <c r="G11" s="7">
        <v>688</v>
      </c>
      <c r="H11" s="50">
        <f>G11/$G$41</f>
        <v>1.2542156594658646E-2</v>
      </c>
      <c r="J11" s="33" t="s">
        <v>51</v>
      </c>
      <c r="K11" s="7">
        <v>7228</v>
      </c>
      <c r="L11" s="50">
        <f>K11/$K$24</f>
        <v>0.131765563759001</v>
      </c>
    </row>
    <row r="12" spans="2:12" x14ac:dyDescent="0.3">
      <c r="B12" s="32" t="s">
        <v>58</v>
      </c>
      <c r="C12" s="28">
        <v>176039</v>
      </c>
      <c r="D12" s="51">
        <f t="shared" si="0"/>
        <v>9.618114327487616E-2</v>
      </c>
      <c r="F12" s="33" t="s">
        <v>50</v>
      </c>
      <c r="G12" s="7">
        <v>694</v>
      </c>
      <c r="H12" s="50">
        <f>G12/$G$41</f>
        <v>1.2651535867286482E-2</v>
      </c>
      <c r="J12" s="33" t="s">
        <v>60</v>
      </c>
      <c r="K12" s="7">
        <v>3128</v>
      </c>
      <c r="L12" s="50">
        <f>K12/$K$24</f>
        <v>5.7023060796645701E-2</v>
      </c>
    </row>
    <row r="13" spans="2:12" x14ac:dyDescent="0.3">
      <c r="B13" s="32" t="s">
        <v>91</v>
      </c>
      <c r="C13" s="28">
        <v>51602</v>
      </c>
      <c r="D13" s="51">
        <f t="shared" si="0"/>
        <v>2.8193408024756787E-2</v>
      </c>
      <c r="F13" s="33" t="s">
        <v>53</v>
      </c>
      <c r="G13" s="7">
        <v>700</v>
      </c>
      <c r="H13" s="50">
        <f>G13/$G$41</f>
        <v>1.2760915139914319E-2</v>
      </c>
      <c r="J13" s="33" t="s">
        <v>79</v>
      </c>
      <c r="K13" s="7">
        <v>3902</v>
      </c>
      <c r="L13" s="50">
        <f>K13/$K$24</f>
        <v>7.1132986965636677E-2</v>
      </c>
    </row>
    <row r="14" spans="2:12" x14ac:dyDescent="0.3">
      <c r="B14" s="32" t="s">
        <v>130</v>
      </c>
      <c r="C14" s="28">
        <v>36461</v>
      </c>
      <c r="D14" s="51">
        <f t="shared" si="0"/>
        <v>1.9920930390113896E-2</v>
      </c>
      <c r="F14" s="33" t="s">
        <v>56</v>
      </c>
      <c r="G14" s="7">
        <v>706</v>
      </c>
      <c r="H14" s="50">
        <f>G14/$G$41</f>
        <v>1.2870294412542156E-2</v>
      </c>
      <c r="J14" s="33" t="s">
        <v>86</v>
      </c>
      <c r="K14" s="7">
        <v>2222</v>
      </c>
      <c r="L14" s="50">
        <f>K14/$K$24</f>
        <v>4.0506790629842311E-2</v>
      </c>
    </row>
    <row r="15" spans="2:12" x14ac:dyDescent="0.3">
      <c r="B15" s="61" t="s">
        <v>415</v>
      </c>
      <c r="C15" s="60">
        <f>SUM(_xlfn.ANCHORARRAY(C8))</f>
        <v>1830286</v>
      </c>
      <c r="D15" s="63">
        <f t="shared" si="0"/>
        <v>1</v>
      </c>
      <c r="F15" s="33" t="s">
        <v>59</v>
      </c>
      <c r="G15" s="7">
        <v>712</v>
      </c>
      <c r="H15" s="50">
        <f>G15/$G$41</f>
        <v>1.2979673685169994E-2</v>
      </c>
      <c r="J15" s="33" t="s">
        <v>89</v>
      </c>
      <c r="K15" s="7">
        <v>2233</v>
      </c>
      <c r="L15" s="50">
        <f>K15/$K$24</f>
        <v>4.0707319296326677E-2</v>
      </c>
    </row>
    <row r="16" spans="2:12" ht="15" thickBot="1" x14ac:dyDescent="0.35">
      <c r="F16" s="33" t="s">
        <v>63</v>
      </c>
      <c r="G16" s="7">
        <v>1813</v>
      </c>
      <c r="H16" s="50">
        <f>G16/$G$41</f>
        <v>3.3050770212378087E-2</v>
      </c>
      <c r="J16" s="33" t="s">
        <v>93</v>
      </c>
      <c r="K16" s="7">
        <v>2273</v>
      </c>
      <c r="L16" s="50">
        <f>K16/$K$24</f>
        <v>4.1436514447178927E-2</v>
      </c>
    </row>
    <row r="17" spans="2:12" x14ac:dyDescent="0.3">
      <c r="B17" s="41" t="s">
        <v>422</v>
      </c>
      <c r="C17" s="42"/>
      <c r="D17" s="43"/>
      <c r="F17" s="33" t="s">
        <v>65</v>
      </c>
      <c r="G17" s="7">
        <v>1823</v>
      </c>
      <c r="H17" s="50">
        <f>G17/$G$41</f>
        <v>3.3233069000091146E-2</v>
      </c>
      <c r="J17" s="33" t="s">
        <v>96</v>
      </c>
      <c r="K17" s="7">
        <v>2537</v>
      </c>
      <c r="L17" s="50">
        <f>K17/$K$24</f>
        <v>4.6249202442803755E-2</v>
      </c>
    </row>
    <row r="18" spans="2:12" x14ac:dyDescent="0.3">
      <c r="B18" s="52" t="s">
        <v>423</v>
      </c>
      <c r="C18" s="7" cm="1">
        <f t="array" ref="C18:C19">SUMIF(actual!$H$2:$H$326,'pivot table'!B18:B19,actual!$K$2:$K$326)</f>
        <v>23867</v>
      </c>
      <c r="D18" s="53">
        <f>C18/$C$20</f>
        <v>0.43509251663476439</v>
      </c>
      <c r="F18" s="33" t="s">
        <v>68</v>
      </c>
      <c r="G18" s="7">
        <v>1833</v>
      </c>
      <c r="H18" s="50">
        <f>G18/$G$41</f>
        <v>3.3415367787804212E-2</v>
      </c>
      <c r="J18" s="33" t="s">
        <v>99</v>
      </c>
      <c r="K18" s="7">
        <v>2217</v>
      </c>
      <c r="L18" s="50">
        <f>K18/$K$24</f>
        <v>4.0415641235985782E-2</v>
      </c>
    </row>
    <row r="19" spans="2:12" x14ac:dyDescent="0.3">
      <c r="B19" s="52" t="s">
        <v>424</v>
      </c>
      <c r="C19" s="7">
        <v>30988</v>
      </c>
      <c r="D19" s="53">
        <f>C19/$C$20</f>
        <v>0.56490748336523566</v>
      </c>
      <c r="F19" s="33" t="s">
        <v>70</v>
      </c>
      <c r="G19" s="7">
        <v>1843</v>
      </c>
      <c r="H19" s="50">
        <f>G19/$G$41</f>
        <v>3.3597666575517271E-2</v>
      </c>
      <c r="J19" s="33" t="s">
        <v>131</v>
      </c>
      <c r="K19" s="7">
        <v>707</v>
      </c>
      <c r="L19" s="50">
        <f>K19/$K$24</f>
        <v>1.2888524291313463E-2</v>
      </c>
    </row>
    <row r="20" spans="2:12" ht="15" thickBot="1" x14ac:dyDescent="0.35">
      <c r="B20" s="36" t="s">
        <v>425</v>
      </c>
      <c r="C20" s="37">
        <f>SUM(_xlfn.ANCHORARRAY(C18))</f>
        <v>54855</v>
      </c>
      <c r="D20" s="54">
        <f>C20/$C$20</f>
        <v>1</v>
      </c>
      <c r="F20" s="33" t="s">
        <v>72</v>
      </c>
      <c r="G20" s="7">
        <v>1853</v>
      </c>
      <c r="H20" s="50">
        <f>G20/$G$41</f>
        <v>3.3779965363230337E-2</v>
      </c>
      <c r="J20" s="33" t="s">
        <v>136</v>
      </c>
      <c r="K20" s="7">
        <v>717</v>
      </c>
      <c r="L20" s="50">
        <f>K20/$K$24</f>
        <v>1.3070823079026524E-2</v>
      </c>
    </row>
    <row r="21" spans="2:12" ht="15" thickBot="1" x14ac:dyDescent="0.35">
      <c r="F21" s="33" t="s">
        <v>74</v>
      </c>
      <c r="G21" s="7">
        <v>1863</v>
      </c>
      <c r="H21" s="50">
        <f>G21/$G$41</f>
        <v>3.3962264150943396E-2</v>
      </c>
      <c r="J21" s="33" t="s">
        <v>139</v>
      </c>
      <c r="K21" s="7">
        <v>924</v>
      </c>
      <c r="L21" s="50">
        <f>K21/$K$24</f>
        <v>1.68444079846869E-2</v>
      </c>
    </row>
    <row r="22" spans="2:12" x14ac:dyDescent="0.3">
      <c r="B22" s="41" t="s">
        <v>418</v>
      </c>
      <c r="C22" s="42"/>
      <c r="D22" s="43"/>
      <c r="F22" s="33" t="s">
        <v>76</v>
      </c>
      <c r="G22" s="7">
        <v>2178</v>
      </c>
      <c r="H22" s="50">
        <f>G22/$G$41</f>
        <v>3.970467596390484E-2</v>
      </c>
      <c r="J22" s="33" t="s">
        <v>150</v>
      </c>
      <c r="K22" s="7">
        <v>2171</v>
      </c>
      <c r="L22" s="50">
        <f>K22/$K$24</f>
        <v>3.9577066812505696E-2</v>
      </c>
    </row>
    <row r="23" spans="2:12" x14ac:dyDescent="0.3">
      <c r="B23" s="33" t="s">
        <v>12</v>
      </c>
      <c r="C23" s="39" cm="1">
        <f t="array" ref="C23:C32">SUMIF(actual!$D$2:$D$326,'pivot table'!B23:B32,actual!$I$2:$I$326)</f>
        <v>65228</v>
      </c>
      <c r="D23" s="40">
        <f>C23/$C$33</f>
        <v>3.5638146169505752E-2</v>
      </c>
      <c r="F23" s="33" t="s">
        <v>78</v>
      </c>
      <c r="G23" s="7">
        <v>2189</v>
      </c>
      <c r="H23" s="50">
        <f>G23/$G$41</f>
        <v>3.9905204630389206E-2</v>
      </c>
      <c r="J23" s="33" t="s">
        <v>407</v>
      </c>
      <c r="K23" s="7">
        <v>327</v>
      </c>
      <c r="L23" s="50">
        <f>K23/$K$24</f>
        <v>5.9611703582171174E-3</v>
      </c>
    </row>
    <row r="24" spans="2:12" x14ac:dyDescent="0.3">
      <c r="B24" s="33" t="s">
        <v>17</v>
      </c>
      <c r="C24" s="39">
        <v>124096</v>
      </c>
      <c r="D24" s="40">
        <f>C24/$C$33</f>
        <v>6.780142556955579E-2</v>
      </c>
      <c r="F24" s="33" t="s">
        <v>81</v>
      </c>
      <c r="G24" s="7">
        <v>2200</v>
      </c>
      <c r="H24" s="50">
        <f>G24/$G$41</f>
        <v>4.0105733296873579E-2</v>
      </c>
      <c r="J24" s="57" t="s">
        <v>426</v>
      </c>
      <c r="K24" s="58">
        <f>SUM(_xlfn.ANCHORARRAY(K3))</f>
        <v>54855</v>
      </c>
      <c r="L24" s="59">
        <f>K24/$K$24</f>
        <v>1</v>
      </c>
    </row>
    <row r="25" spans="2:12" ht="15" thickBot="1" x14ac:dyDescent="0.35">
      <c r="B25" s="33" t="s">
        <v>22</v>
      </c>
      <c r="C25" s="39">
        <v>23581</v>
      </c>
      <c r="D25" s="40">
        <f>C25/$C$33</f>
        <v>1.2883778819266497E-2</v>
      </c>
      <c r="F25" s="33" t="s">
        <v>83</v>
      </c>
      <c r="G25" s="7">
        <v>2211</v>
      </c>
      <c r="H25" s="50">
        <f>G25/$G$41</f>
        <v>4.0306261963357945E-2</v>
      </c>
    </row>
    <row r="26" spans="2:12" x14ac:dyDescent="0.3">
      <c r="B26" s="33" t="s">
        <v>32</v>
      </c>
      <c r="C26" s="39">
        <v>38750</v>
      </c>
      <c r="D26" s="40">
        <f>C26/$C$33</f>
        <v>2.1171554609498187E-2</v>
      </c>
      <c r="F26" s="33" t="s">
        <v>85</v>
      </c>
      <c r="G26" s="7">
        <v>2222</v>
      </c>
      <c r="H26" s="50">
        <f>G26/$G$41</f>
        <v>4.0506790629842311E-2</v>
      </c>
      <c r="J26" s="29" t="s">
        <v>417</v>
      </c>
      <c r="K26" s="30"/>
      <c r="L26" s="31"/>
    </row>
    <row r="27" spans="2:12" ht="15.6" x14ac:dyDescent="0.3">
      <c r="B27" s="33" t="s">
        <v>121</v>
      </c>
      <c r="C27" s="39">
        <v>456645</v>
      </c>
      <c r="D27" s="40">
        <f>C27/$C$33</f>
        <v>0.24949379495882065</v>
      </c>
      <c r="F27" s="33" t="s">
        <v>88</v>
      </c>
      <c r="G27" s="7">
        <v>2233</v>
      </c>
      <c r="H27" s="50">
        <f>G27/$G$41</f>
        <v>4.0707319296326677E-2</v>
      </c>
      <c r="J27" s="34" t="s">
        <v>11</v>
      </c>
      <c r="K27" s="44" cm="1">
        <f t="array" ref="K27:K29">SUMIF(actual!$C$2:$C$326,'pivot table'!J27:J29,actual!$I$2:$I$326)</f>
        <v>561713</v>
      </c>
      <c r="L27" s="35">
        <f>K27/$K$30</f>
        <v>0.30689903108038852</v>
      </c>
    </row>
    <row r="28" spans="2:12" ht="15.6" x14ac:dyDescent="0.3">
      <c r="B28" s="33" t="s">
        <v>62</v>
      </c>
      <c r="C28" s="39">
        <v>50077</v>
      </c>
      <c r="D28" s="40">
        <f>C28/$C$33</f>
        <v>2.7360204907866857E-2</v>
      </c>
      <c r="F28" s="33" t="s">
        <v>92</v>
      </c>
      <c r="G28" s="7">
        <v>2244</v>
      </c>
      <c r="H28" s="50">
        <f>G28/$G$41</f>
        <v>4.090784796281105E-2</v>
      </c>
      <c r="J28" s="34" t="s">
        <v>31</v>
      </c>
      <c r="K28" s="44">
        <v>852849</v>
      </c>
      <c r="L28" s="35">
        <f>K28/$K$30</f>
        <v>0.46596488199112052</v>
      </c>
    </row>
    <row r="29" spans="2:12" ht="15.6" x14ac:dyDescent="0.3">
      <c r="B29" s="33" t="s">
        <v>67</v>
      </c>
      <c r="C29" s="39">
        <v>140972</v>
      </c>
      <c r="D29" s="40">
        <f>C29/$C$33</f>
        <v>7.7021842488004602E-2</v>
      </c>
      <c r="F29" s="33" t="s">
        <v>95</v>
      </c>
      <c r="G29" s="7">
        <v>2537</v>
      </c>
      <c r="H29" s="50">
        <f>G29/$G$41</f>
        <v>4.6249202442803755E-2</v>
      </c>
      <c r="J29" s="34" t="s">
        <v>155</v>
      </c>
      <c r="K29" s="44">
        <v>415724</v>
      </c>
      <c r="L29" s="35">
        <f>K29/$K$30</f>
        <v>0.22713608692849097</v>
      </c>
    </row>
    <row r="30" spans="2:12" ht="15" thickBot="1" x14ac:dyDescent="0.35">
      <c r="B30" s="33" t="s">
        <v>104</v>
      </c>
      <c r="C30" s="39">
        <v>323895</v>
      </c>
      <c r="D30" s="40">
        <f>C30/$C$33</f>
        <v>0.17696414658692686</v>
      </c>
      <c r="F30" s="33" t="s">
        <v>98</v>
      </c>
      <c r="G30" s="7">
        <v>2217</v>
      </c>
      <c r="H30" s="50">
        <f>G30/$G$41</f>
        <v>4.0415641235985782E-2</v>
      </c>
      <c r="J30" s="36" t="s">
        <v>415</v>
      </c>
      <c r="K30" s="37">
        <f>SUM(_xlfn.ANCHORARRAY(K27))</f>
        <v>1830286</v>
      </c>
      <c r="L30" s="48">
        <f>SUM(L27:L29)</f>
        <v>1</v>
      </c>
    </row>
    <row r="31" spans="2:12" x14ac:dyDescent="0.3">
      <c r="B31" s="33" t="s">
        <v>142</v>
      </c>
      <c r="C31" s="39">
        <v>307377</v>
      </c>
      <c r="D31" s="40">
        <f>C31/$C$33</f>
        <v>0.16793932751493482</v>
      </c>
      <c r="F31" s="33" t="s">
        <v>101</v>
      </c>
      <c r="G31" s="7">
        <v>2228</v>
      </c>
      <c r="H31" s="50">
        <f>G31/$G$41</f>
        <v>4.0616169902470148E-2</v>
      </c>
    </row>
    <row r="32" spans="2:12" x14ac:dyDescent="0.3">
      <c r="B32" s="33" t="s">
        <v>174</v>
      </c>
      <c r="C32" s="39">
        <v>299665</v>
      </c>
      <c r="D32" s="40">
        <f>C32/$C$33</f>
        <v>0.16372577837562</v>
      </c>
      <c r="F32" s="33" t="s">
        <v>105</v>
      </c>
      <c r="G32" s="7">
        <v>1704</v>
      </c>
      <c r="H32" s="50">
        <f>G32/$G$41</f>
        <v>3.1063713426305716E-2</v>
      </c>
    </row>
    <row r="33" spans="2:10" x14ac:dyDescent="0.3">
      <c r="B33" s="45" t="s">
        <v>415</v>
      </c>
      <c r="C33" s="46">
        <f>SUM(_xlfn.ANCHORARRAY(C23))</f>
        <v>1830286</v>
      </c>
      <c r="D33" s="47">
        <f>C33/$C$33</f>
        <v>1</v>
      </c>
      <c r="F33" s="33" t="s">
        <v>107</v>
      </c>
      <c r="G33" s="7">
        <v>1713</v>
      </c>
      <c r="H33" s="50">
        <f>G33/$G$41</f>
        <v>3.1227782335247471E-2</v>
      </c>
    </row>
    <row r="34" spans="2:10" x14ac:dyDescent="0.3">
      <c r="F34" s="33" t="s">
        <v>109</v>
      </c>
      <c r="G34" s="7">
        <v>1404</v>
      </c>
      <c r="H34" s="50">
        <f>G34/$G$41</f>
        <v>2.5594749794913864E-2</v>
      </c>
    </row>
    <row r="35" spans="2:10" x14ac:dyDescent="0.3">
      <c r="F35" s="33" t="s">
        <v>111</v>
      </c>
      <c r="G35" s="7">
        <v>1107</v>
      </c>
      <c r="H35" s="50">
        <f>G35/$G$41</f>
        <v>2.018047579983593E-2</v>
      </c>
    </row>
    <row r="36" spans="2:10" x14ac:dyDescent="0.3">
      <c r="F36" s="33" t="s">
        <v>128</v>
      </c>
      <c r="G36" s="7">
        <v>702</v>
      </c>
      <c r="H36" s="50">
        <f>G36/$G$41</f>
        <v>1.2797374897456932E-2</v>
      </c>
    </row>
    <row r="37" spans="2:10" x14ac:dyDescent="0.3">
      <c r="F37" s="33" t="s">
        <v>131</v>
      </c>
      <c r="G37" s="7">
        <v>707</v>
      </c>
      <c r="H37" s="50">
        <f>G37/$G$41</f>
        <v>1.2888524291313463E-2</v>
      </c>
    </row>
    <row r="38" spans="2:10" x14ac:dyDescent="0.3">
      <c r="F38" s="33" t="s">
        <v>133</v>
      </c>
      <c r="G38" s="7">
        <v>712</v>
      </c>
      <c r="H38" s="50">
        <f>G38/$G$41</f>
        <v>1.2979673685169994E-2</v>
      </c>
      <c r="J38" s="56"/>
    </row>
    <row r="39" spans="2:10" x14ac:dyDescent="0.3">
      <c r="F39" s="33" t="s">
        <v>135</v>
      </c>
      <c r="G39" s="7">
        <v>717</v>
      </c>
      <c r="H39" s="50">
        <f>G39/$G$41</f>
        <v>1.3070823079026524E-2</v>
      </c>
    </row>
    <row r="40" spans="2:10" x14ac:dyDescent="0.3">
      <c r="F40" s="33" t="s">
        <v>138</v>
      </c>
      <c r="G40" s="7">
        <v>924</v>
      </c>
      <c r="H40" s="50">
        <f>G40/$G$41</f>
        <v>1.68444079846869E-2</v>
      </c>
    </row>
    <row r="41" spans="2:10" x14ac:dyDescent="0.3">
      <c r="F41" s="62" t="s">
        <v>415</v>
      </c>
      <c r="G41" s="58">
        <f>SUM(_xlfn.ANCHORARRAY(G2))</f>
        <v>54855</v>
      </c>
      <c r="H41" s="69">
        <f>SUM(H2:H40)</f>
        <v>1</v>
      </c>
    </row>
  </sheetData>
  <mergeCells count="7">
    <mergeCell ref="J2:L2"/>
    <mergeCell ref="B17:D17"/>
    <mergeCell ref="F1:H1"/>
    <mergeCell ref="B2:D2"/>
    <mergeCell ref="J26:L26"/>
    <mergeCell ref="B22:D22"/>
    <mergeCell ref="B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D730-DF10-40F7-BF8B-37CF57831167}">
  <dimension ref="A1:AB39"/>
  <sheetViews>
    <sheetView showGridLines="0" zoomScale="80" zoomScaleNormal="84" workbookViewId="0">
      <selection activeCell="V41" sqref="V41"/>
    </sheetView>
  </sheetViews>
  <sheetFormatPr defaultRowHeight="14.4" x14ac:dyDescent="0.3"/>
  <sheetData>
    <row r="1" spans="1:28" x14ac:dyDescent="0.3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spans="1:28" x14ac:dyDescent="0.3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</row>
    <row r="3" spans="1:28" x14ac:dyDescent="0.3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</row>
    <row r="4" spans="1:28" x14ac:dyDescent="0.3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</row>
    <row r="5" spans="1:28" x14ac:dyDescent="0.3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</row>
    <row r="6" spans="1:28" x14ac:dyDescent="0.3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</row>
    <row r="7" spans="1:28" x14ac:dyDescent="0.3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</row>
    <row r="8" spans="1:28" x14ac:dyDescent="0.3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AB8" t="e" vm="1">
        <v>#VALUE!</v>
      </c>
    </row>
    <row r="9" spans="1:28" x14ac:dyDescent="0.3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</row>
    <row r="10" spans="1:28" x14ac:dyDescent="0.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</row>
    <row r="11" spans="1:28" x14ac:dyDescent="0.3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</row>
    <row r="12" spans="1:28" x14ac:dyDescent="0.3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</row>
    <row r="13" spans="1:28" x14ac:dyDescent="0.3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</row>
    <row r="14" spans="1:28" x14ac:dyDescent="0.3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</row>
    <row r="15" spans="1:28" x14ac:dyDescent="0.3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</row>
    <row r="16" spans="1:28" x14ac:dyDescent="0.3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</row>
    <row r="17" spans="1:27" x14ac:dyDescent="0.3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</row>
    <row r="18" spans="1:27" x14ac:dyDescent="0.3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</row>
    <row r="19" spans="1:27" x14ac:dyDescent="0.3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</row>
    <row r="20" spans="1:27" x14ac:dyDescent="0.3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</row>
    <row r="21" spans="1:27" x14ac:dyDescent="0.3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</row>
    <row r="22" spans="1:27" x14ac:dyDescent="0.3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AA22" s="65"/>
    </row>
    <row r="23" spans="1:27" x14ac:dyDescent="0.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</row>
    <row r="24" spans="1:27" x14ac:dyDescent="0.3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</row>
    <row r="25" spans="1:27" x14ac:dyDescent="0.3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</row>
    <row r="26" spans="1:27" x14ac:dyDescent="0.3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</row>
    <row r="27" spans="1:27" x14ac:dyDescent="0.3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</row>
    <row r="28" spans="1:27" x14ac:dyDescent="0.3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</row>
    <row r="29" spans="1:27" x14ac:dyDescent="0.3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</row>
    <row r="30" spans="1:27" x14ac:dyDescent="0.3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</row>
    <row r="31" spans="1:27" x14ac:dyDescent="0.3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</row>
    <row r="32" spans="1:27" x14ac:dyDescent="0.3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</row>
    <row r="33" spans="1:24" x14ac:dyDescent="0.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</row>
    <row r="34" spans="1:24" x14ac:dyDescent="0.3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</row>
    <row r="35" spans="1:24" x14ac:dyDescent="0.3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</row>
    <row r="36" spans="1:24" x14ac:dyDescent="0.3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</row>
    <row r="37" spans="1:24" x14ac:dyDescent="0.3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</row>
    <row r="38" spans="1:24" x14ac:dyDescent="0.3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</row>
    <row r="39" spans="1:24" x14ac:dyDescent="0.3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Suryapratap Daur</dc:creator>
  <cp:lastModifiedBy>Suryapratap Daur</cp:lastModifiedBy>
  <dcterms:created xsi:type="dcterms:W3CDTF">2025-11-07T11:12:45Z</dcterms:created>
  <dcterms:modified xsi:type="dcterms:W3CDTF">2025-11-08T03:34:22Z</dcterms:modified>
</cp:coreProperties>
</file>